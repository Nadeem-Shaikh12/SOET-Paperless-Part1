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ching Workloa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<sst xmlns="http://schemas.openxmlformats.org/spreadsheetml/2006/main" count="73" uniqueCount="70">
  <si>
    <t xml:space="preserve">MGM University</t>
  </si>
  <si>
    <t xml:space="preserve">Chhatrapati Sambhajinagar</t>
  </si>
  <si>
    <t xml:space="preserve">Academic year 2026-27 (Part 1)</t>
  </si>
  <si>
    <t xml:space="preserve">School of Engineering and Technology</t>
  </si>
  <si>
    <t xml:space="preserve">Civil Engineering Department</t>
  </si>
  <si>
    <t xml:space="preserve">Teaching Workload</t>
  </si>
  <si>
    <t xml:space="preserve">Sr.
No.</t>
  </si>
  <si>
    <t xml:space="preserve">Program/
Class</t>
  </si>
  <si>
    <t xml:space="preserve">Name of Course / Subject</t>
  </si>
  <si>
    <t xml:space="preserve">No. of
Divisions</t>
  </si>
  <si>
    <t xml:space="preserve">Theory (L)</t>
  </si>
  <si>
    <t xml:space="preserve">Practical (P)</t>
  </si>
  <si>
    <t xml:space="preserve">Tutorial (T)
Hrs per week</t>
  </si>
  <si>
    <t xml:space="preserve">Total Teaching
Hours</t>
  </si>
  <si>
    <t xml:space="preserve">Credits for Course / Subject</t>
  </si>
  <si>
    <t xml:space="preserve">Hrs per
week</t>
  </si>
  <si>
    <t xml:space="preserve">Total (Hrs
per week)</t>
  </si>
  <si>
    <t xml:space="preserve">No. of
Batches</t>
  </si>
  <si>
    <t xml:space="preserve">L</t>
  </si>
  <si>
    <t xml:space="preserve">P</t>
  </si>
  <si>
    <t xml:space="preserve">T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</si>
  <si>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</si>
  <si>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</si>
  <si>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</si>
  <si>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</si>
  <si>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</si>
  <si>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</si>
  <si>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</si>
  <si>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</si>
  <si>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</si>
  <si>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</si>
  <si>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</si>
  <si>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</si>
  <si>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</si>
  <si>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</si>
  <si>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(4*5)</t>
  </si>
  <si>
    <t xml:space="preserve">(7*8)</t>
  </si>
  <si>
    <t xml:space="preserve">(6+9+10)</t>
  </si>
  <si>
    <t xml:space="preserve">TE (I) CE</t>
  </si>
  <si>
    <t xml:space="preserve">Soil Mechanics</t>
  </si>
  <si>
    <t xml:space="preserve">Strength of Materials</t>
  </si>
  <si>
    <t xml:space="preserve">Building Planning and Drawing</t>
  </si>
  <si>
    <t xml:space="preserve">Fluid Mechanics-1</t>
  </si>
  <si>
    <t xml:space="preserve">Remote Sensing and Geographical Information System</t>
  </si>
  <si>
    <t xml:space="preserve">Gandhian Studies *</t>
  </si>
  <si>
    <t xml:space="preserve">Audit</t>
  </si>
  <si>
    <t xml:space="preserve">Computer Aided Drawing-I Lab</t>
  </si>
  <si>
    <t xml:space="preserve">FO (I) CE</t>
  </si>
  <si>
    <t xml:space="preserve">Environmental Engineering</t>
  </si>
  <si>
    <t xml:space="preserve">Transportation Engineering</t>
  </si>
  <si>
    <t xml:space="preserve">Business Management &amp; Financial Accounting *</t>
  </si>
  <si>
    <t xml:space="preserve">Constitution of India *</t>
  </si>
  <si>
    <t xml:space="preserve">Civil Engineering Software-1 Lab</t>
  </si>
  <si>
    <t xml:space="preserve">Field Project</t>
  </si>
  <si>
    <t xml:space="preserve">MDM*</t>
  </si>
  <si>
    <t xml:space="preserve">OE-1*</t>
  </si>
  <si>
    <t xml:space="preserve">OE-2*</t>
  </si>
  <si>
    <t xml:space="preserve">FE(I)</t>
  </si>
  <si>
    <t xml:space="preserve">Introduction to Engineering **</t>
  </si>
  <si>
    <t xml:space="preserve">FE</t>
  </si>
  <si>
    <t xml:space="preserve">Python Programming **</t>
  </si>
  <si>
    <t xml:space="preserve">FY IHM</t>
  </si>
  <si>
    <t xml:space="preserve">Environmental Studies **</t>
  </si>
  <si>
    <t xml:space="preserve">FY SOD</t>
  </si>
  <si>
    <t xml:space="preserve">TOTAL</t>
  </si>
  <si>
    <t xml:space="preserve">Note:   * Load taken by other Department</t>
  </si>
  <si>
    <t xml:space="preserve">            ** Load of other Departments taken by Faculties of Civil Engineering Department</t>
  </si>
  <si>
    <t xml:space="preserve">Head of Department</t>
  </si>
  <si>
    <t xml:space="preserve">Head of Institute</t>
  </si>
  <si>
    <t xml:space="preserve">Dean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</si>
</sst>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u val="single"/>
      <sz val="12"/>
      <name val="Arial"/>
      <family val="0"/>
      <charset val="1"/>
    </font>
    <font>
      <b val="true"/>
      <sz val="10"/>
      <name val="Arial"/>
      <family val="0"/>
      <charset val="1"/>
    </font>
    <font>
      <b val="true"/>
      <i val="true"/>
      <sz val="9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2F2F2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38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4" min="12" style="0" width="7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15" hidden="false" customHeight="true" outlineLevel="0" collapsed="false">
      <c r="A6" s="4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customFormat="false" ht="25.5" hidden="false" customHeight="true" outlineLevel="0" collapsed="false">
      <c r="A7" s="5" t="s">
        <v>6</v>
      </c>
      <c r="B7" s="5" t="s">
        <v>7</v>
      </c>
      <c r="C7" s="5" t="s">
        <v>8</v>
      </c>
      <c r="D7" s="5" t="s">
        <v>9</v>
      </c>
      <c r="E7" s="6" t="s">
        <v>10</v>
      </c>
      <c r="F7" s="6"/>
      <c r="G7" s="6" t="s">
        <v>11</v>
      </c>
      <c r="H7" s="6"/>
      <c r="I7" s="6"/>
      <c r="J7" s="5" t="s">
        <v>12</v>
      </c>
      <c r="K7" s="5" t="s">
        <v>13</v>
      </c>
      <c r="L7" s="6" t="s">
        <v>14</v>
      </c>
      <c r="M7" s="6"/>
      <c r="N7" s="6"/>
    </row>
    <row r="8" customFormat="false" ht="21.75" hidden="false" customHeight="true" outlineLevel="0" collapsed="false">
      <c r="A8" s="5"/>
      <c r="B8" s="5"/>
      <c r="C8" s="5"/>
      <c r="D8" s="5"/>
      <c r="E8" s="7" t="s">
        <v>15</v>
      </c>
      <c r="F8" s="7" t="s">
        <v>16</v>
      </c>
      <c r="G8" s="7" t="s">
        <v>17</v>
      </c>
      <c r="H8" s="7" t="s">
        <v>15</v>
      </c>
      <c r="I8" s="7" t="s">
        <v>16</v>
      </c>
      <c r="J8" s="5"/>
      <c r="K8" s="5"/>
      <c r="L8" s="7" t="s">
        <v>18</v>
      </c>
      <c r="M8" s="7" t="s">
        <v>19</v>
      </c>
      <c r="N8" s="7" t="s">
        <v>20</v>
      </c>
    </row>
    <row r="9" customFormat="false" ht="21.75" hidden="false" customHeight="true" outlineLevel="0" collapsed="false">
      <c r="A9" s="5"/>
      <c r="B9" s="5"/>
      <c r="C9" s="5"/>
      <c r="D9" s="5"/>
      <c r="E9" s="7"/>
      <c r="F9" s="7"/>
      <c r="G9" s="7"/>
      <c r="H9" s="7"/>
      <c r="I9" s="7"/>
      <c r="J9" s="5"/>
      <c r="K9" s="5"/>
      <c r="L9" s="7"/>
      <c r="M9" s="7"/>
      <c r="N9" s="7"/>
    </row>
    <row r="10" customFormat="false" ht="21.75" hidden="false" customHeight="true" outlineLevel="0" collapsed="false">
      <c r="A10" s="8" t="s">
        <v>21</v>
      </c>
      <c r="B10" s="8" t="s">
        <v>22</v>
      </c>
      <c r="C10" s="8" t="s">
        <v>23</v>
      </c>
      <c r="D10" s="8" t="s">
        <v>24</v>
      </c>
      <c r="E10" s="8" t="s">
        <v>25</v>
      </c>
      <c r="F10" s="8" t="s">
        <v>26</v>
      </c>
      <c r="G10" s="8" t="s">
        <v>27</v>
      </c>
      <c r="H10" s="8" t="s">
        <v>28</v>
      </c>
      <c r="I10" s="8" t="s">
        <v>29</v>
      </c>
      <c r="J10" s="8" t="s">
        <v>30</v>
      </c>
      <c r="K10" s="8" t="s">
        <v>31</v>
      </c>
      <c r="L10" s="8" t="s">
        <v>32</v>
      </c>
      <c r="M10" s="8" t="s">
        <v>33</v>
      </c>
      <c r="N10" s="8" t="s">
        <v>34</v>
      </c>
    </row>
    <row r="11" customFormat="false" ht="21.75" hidden="false" customHeight="true" outlineLevel="0" collapsed="false">
      <c r="A11" s="9"/>
      <c r="B11" s="9"/>
      <c r="C11" s="9"/>
      <c r="D11" s="9"/>
      <c r="E11" s="9"/>
      <c r="F11" s="9" t="s">
        <v>35</v>
      </c>
      <c r="G11" s="9"/>
      <c r="H11" s="9"/>
      <c r="I11" s="9" t="s">
        <v>36</v>
      </c>
      <c r="J11" s="9"/>
      <c r="K11" s="9" t="s">
        <v>37</v>
      </c>
      <c r="L11" s="9"/>
      <c r="M11" s="9"/>
      <c r="N11" s="9"/>
    </row>
    <row r="12" customFormat="false" ht="15" hidden="false" customHeight="true" outlineLevel="0" collapsed="false">
      <c r="A12" s="10" t="n">
        <v>1</v>
      </c>
      <c r="B12" s="10" t="s">
        <v>38</v>
      </c>
      <c r="C12" s="11" t="s">
        <v>39</v>
      </c>
      <c r="D12" s="12" t="n">
        <v>1</v>
      </c>
      <c r="E12" s="12" t="n">
        <v>3</v>
      </c>
      <c r="F12" s="12" t="n">
        <f aca="false">D12*E12</f>
        <v>3</v>
      </c>
      <c r="G12" s="12" t="n">
        <v>1</v>
      </c>
      <c r="H12" s="12" t="n">
        <v>1</v>
      </c>
      <c r="I12" s="12" t="n">
        <v>2</v>
      </c>
      <c r="J12" s="12" t="n">
        <v>0</v>
      </c>
      <c r="K12" s="10" t="n">
        <f aca="false">SUM(F12:F18)+SUM(I12:I18)+SUM(J12:J18)</f>
        <v>29</v>
      </c>
      <c r="L12" s="12" t="n">
        <v>3</v>
      </c>
      <c r="M12" s="12" t="n">
        <v>1</v>
      </c>
      <c r="N12" s="12" t="n">
        <v>0</v>
      </c>
    </row>
    <row r="13" customFormat="false" ht="15" hidden="false" customHeight="false" outlineLevel="0" collapsed="false">
      <c r="A13" s="10"/>
      <c r="B13" s="10"/>
      <c r="C13" s="11" t="s">
        <v>40</v>
      </c>
      <c r="D13" s="12" t="n">
        <v>1</v>
      </c>
      <c r="E13" s="12" t="n">
        <v>3</v>
      </c>
      <c r="F13" s="12" t="n">
        <f aca="false">D13*E13</f>
        <v>3</v>
      </c>
      <c r="G13" s="12" t="n">
        <v>1</v>
      </c>
      <c r="H13" s="12" t="n">
        <v>1</v>
      </c>
      <c r="I13" s="12" t="n">
        <v>2</v>
      </c>
      <c r="J13" s="12" t="n">
        <v>0</v>
      </c>
      <c r="K13" s="10"/>
      <c r="L13" s="12" t="n">
        <v>3</v>
      </c>
      <c r="M13" s="12" t="n">
        <v>1</v>
      </c>
      <c r="N13" s="12" t="n">
        <v>0</v>
      </c>
    </row>
    <row r="14" customFormat="false" ht="15" hidden="false" customHeight="false" outlineLevel="0" collapsed="false">
      <c r="A14" s="10"/>
      <c r="B14" s="10"/>
      <c r="C14" s="11" t="s">
        <v>41</v>
      </c>
      <c r="D14" s="12" t="n">
        <v>1</v>
      </c>
      <c r="E14" s="12" t="n">
        <v>3</v>
      </c>
      <c r="F14" s="12" t="n">
        <f aca="false">D14*E14</f>
        <v>3</v>
      </c>
      <c r="G14" s="12" t="n">
        <v>1</v>
      </c>
      <c r="H14" s="12" t="n">
        <v>1</v>
      </c>
      <c r="I14" s="12" t="n">
        <v>2</v>
      </c>
      <c r="J14" s="12" t="n">
        <v>0</v>
      </c>
      <c r="K14" s="10"/>
      <c r="L14" s="12" t="n">
        <v>3</v>
      </c>
      <c r="M14" s="12" t="n">
        <v>1</v>
      </c>
      <c r="N14" s="12" t="n">
        <v>0</v>
      </c>
    </row>
    <row r="15" customFormat="false" ht="15" hidden="false" customHeight="false" outlineLevel="0" collapsed="false">
      <c r="A15" s="10"/>
      <c r="B15" s="10"/>
      <c r="C15" s="11" t="s">
        <v>42</v>
      </c>
      <c r="D15" s="12" t="n">
        <v>1</v>
      </c>
      <c r="E15" s="12" t="n">
        <v>3</v>
      </c>
      <c r="F15" s="12" t="n">
        <f aca="false">D15*E15</f>
        <v>3</v>
      </c>
      <c r="G15" s="12" t="n">
        <v>1</v>
      </c>
      <c r="H15" s="12" t="n">
        <v>1</v>
      </c>
      <c r="I15" s="12" t="n">
        <v>2</v>
      </c>
      <c r="J15" s="12" t="n">
        <v>0</v>
      </c>
      <c r="K15" s="10"/>
      <c r="L15" s="12" t="n">
        <v>3</v>
      </c>
      <c r="M15" s="12" t="n">
        <v>1</v>
      </c>
      <c r="N15" s="12" t="n">
        <v>0</v>
      </c>
    </row>
    <row r="16" customFormat="false" ht="23.85" hidden="false" customHeight="false" outlineLevel="0" collapsed="false">
      <c r="A16" s="10"/>
      <c r="B16" s="10"/>
      <c r="C16" s="11" t="s">
        <v>43</v>
      </c>
      <c r="D16" s="12" t="n">
        <v>1</v>
      </c>
      <c r="E16" s="12" t="n">
        <v>3</v>
      </c>
      <c r="F16" s="12" t="n">
        <f aca="false">D16*E16</f>
        <v>3</v>
      </c>
      <c r="G16" s="12" t="n">
        <v>1</v>
      </c>
      <c r="H16" s="12" t="n">
        <v>0</v>
      </c>
      <c r="I16" s="12" t="n">
        <v>0</v>
      </c>
      <c r="J16" s="12" t="n">
        <v>0</v>
      </c>
      <c r="K16" s="10"/>
      <c r="L16" s="12" t="n">
        <v>3</v>
      </c>
      <c r="M16" s="12" t="n">
        <v>0</v>
      </c>
      <c r="N16" s="12" t="n">
        <v>0</v>
      </c>
    </row>
    <row r="17" customFormat="false" ht="15" hidden="false" customHeight="false" outlineLevel="0" collapsed="false">
      <c r="A17" s="10"/>
      <c r="B17" s="10"/>
      <c r="C17" s="11" t="s">
        <v>44</v>
      </c>
      <c r="D17" s="12" t="n">
        <v>1</v>
      </c>
      <c r="E17" s="12" t="n">
        <v>2</v>
      </c>
      <c r="F17" s="12" t="n">
        <f aca="false">D17*E17</f>
        <v>2</v>
      </c>
      <c r="G17" s="12" t="n">
        <v>0</v>
      </c>
      <c r="H17" s="12" t="n">
        <v>0</v>
      </c>
      <c r="I17" s="12" t="n">
        <v>0</v>
      </c>
      <c r="J17" s="12" t="n">
        <v>0</v>
      </c>
      <c r="K17" s="10"/>
      <c r="L17" s="12" t="s">
        <v>45</v>
      </c>
      <c r="M17" s="12" t="n">
        <v>0</v>
      </c>
      <c r="N17" s="12" t="n">
        <v>0</v>
      </c>
    </row>
    <row r="18" customFormat="false" ht="15" hidden="false" customHeight="false" outlineLevel="0" collapsed="false">
      <c r="A18" s="10"/>
      <c r="B18" s="10"/>
      <c r="C18" s="11" t="s">
        <v>46</v>
      </c>
      <c r="D18" s="12" t="n">
        <v>1</v>
      </c>
      <c r="E18" s="12" t="n">
        <v>0</v>
      </c>
      <c r="F18" s="12" t="n">
        <f aca="false">D18*E18</f>
        <v>0</v>
      </c>
      <c r="G18" s="12" t="n">
        <v>1</v>
      </c>
      <c r="H18" s="12" t="n">
        <v>2</v>
      </c>
      <c r="I18" s="12" t="n">
        <v>4</v>
      </c>
      <c r="J18" s="12" t="n">
        <v>0</v>
      </c>
      <c r="K18" s="10"/>
      <c r="L18" s="12" t="n">
        <v>0</v>
      </c>
      <c r="M18" s="12" t="n">
        <v>2</v>
      </c>
      <c r="N18" s="12" t="n">
        <v>0</v>
      </c>
    </row>
    <row r="19" customFormat="false" ht="15" hidden="false" customHeight="true" outlineLevel="0" collapsed="false">
      <c r="A19" s="10" t="n">
        <v>2</v>
      </c>
      <c r="B19" s="10" t="s">
        <v>47</v>
      </c>
      <c r="C19" s="11" t="s">
        <v>48</v>
      </c>
      <c r="D19" s="12" t="n">
        <v>1</v>
      </c>
      <c r="E19" s="12" t="n">
        <v>3</v>
      </c>
      <c r="F19" s="12" t="n">
        <f aca="false">D19*E19</f>
        <v>3</v>
      </c>
      <c r="G19" s="12" t="n">
        <v>1</v>
      </c>
      <c r="H19" s="12" t="n">
        <v>1</v>
      </c>
      <c r="I19" s="12" t="n">
        <v>2</v>
      </c>
      <c r="J19" s="12" t="n">
        <v>0</v>
      </c>
      <c r="K19" s="10" t="n">
        <f aca="false">SUM(F19:F27)+SUM(I19:I27)+SUM(J19:J27)</f>
        <v>28</v>
      </c>
      <c r="L19" s="12" t="n">
        <v>3</v>
      </c>
      <c r="M19" s="12" t="n">
        <v>1</v>
      </c>
      <c r="N19" s="12" t="n">
        <v>0</v>
      </c>
    </row>
    <row r="20" customFormat="false" ht="15" hidden="false" customHeight="false" outlineLevel="0" collapsed="false">
      <c r="A20" s="10"/>
      <c r="B20" s="10"/>
      <c r="C20" s="11" t="s">
        <v>49</v>
      </c>
      <c r="D20" s="12" t="n">
        <v>1</v>
      </c>
      <c r="E20" s="12" t="n">
        <v>3</v>
      </c>
      <c r="F20" s="12" t="n">
        <f aca="false">D20*E20</f>
        <v>3</v>
      </c>
      <c r="G20" s="12" t="n">
        <v>1</v>
      </c>
      <c r="H20" s="12" t="n">
        <v>1</v>
      </c>
      <c r="I20" s="12" t="n">
        <v>2</v>
      </c>
      <c r="J20" s="12" t="n">
        <v>0</v>
      </c>
      <c r="K20" s="10"/>
      <c r="L20" s="12" t="n">
        <v>3</v>
      </c>
      <c r="M20" s="12" t="n">
        <v>1</v>
      </c>
      <c r="N20" s="12" t="n">
        <v>0</v>
      </c>
    </row>
    <row r="21" customFormat="false" ht="23.85" hidden="false" customHeight="false" outlineLevel="0" collapsed="false">
      <c r="A21" s="10"/>
      <c r="B21" s="10"/>
      <c r="C21" s="11" t="s">
        <v>50</v>
      </c>
      <c r="D21" s="12" t="n">
        <v>1</v>
      </c>
      <c r="E21" s="12" t="n">
        <v>2</v>
      </c>
      <c r="F21" s="12" t="n">
        <f aca="false">D21*E21</f>
        <v>2</v>
      </c>
      <c r="G21" s="12" t="n">
        <v>0</v>
      </c>
      <c r="H21" s="12" t="n">
        <v>0</v>
      </c>
      <c r="I21" s="12" t="n">
        <v>0</v>
      </c>
      <c r="J21" s="12" t="n">
        <v>0</v>
      </c>
      <c r="K21" s="10"/>
      <c r="L21" s="12" t="n">
        <v>2</v>
      </c>
      <c r="M21" s="12" t="n">
        <v>0</v>
      </c>
      <c r="N21" s="12" t="n">
        <v>0</v>
      </c>
    </row>
    <row r="22" customFormat="false" ht="15" hidden="false" customHeight="false" outlineLevel="0" collapsed="false">
      <c r="A22" s="10"/>
      <c r="B22" s="10"/>
      <c r="C22" s="11" t="s">
        <v>51</v>
      </c>
      <c r="D22" s="12" t="n">
        <v>1</v>
      </c>
      <c r="E22" s="12" t="n">
        <v>2</v>
      </c>
      <c r="F22" s="12" t="n">
        <f aca="false">D22*E22</f>
        <v>2</v>
      </c>
      <c r="G22" s="12" t="n">
        <v>0</v>
      </c>
      <c r="H22" s="12" t="n">
        <v>0</v>
      </c>
      <c r="I22" s="12" t="n">
        <v>0</v>
      </c>
      <c r="J22" s="12" t="n">
        <v>0</v>
      </c>
      <c r="K22" s="10"/>
      <c r="L22" s="12" t="n">
        <v>2</v>
      </c>
      <c r="M22" s="12" t="n">
        <v>0</v>
      </c>
      <c r="N22" s="12" t="n">
        <v>0</v>
      </c>
    </row>
    <row r="23" customFormat="false" ht="15" hidden="false" customHeight="false" outlineLevel="0" collapsed="false">
      <c r="A23" s="10"/>
      <c r="B23" s="10"/>
      <c r="C23" s="11" t="s">
        <v>52</v>
      </c>
      <c r="D23" s="12" t="n">
        <v>1</v>
      </c>
      <c r="E23" s="12" t="n">
        <v>0</v>
      </c>
      <c r="F23" s="12" t="n">
        <f aca="false">D23*E23</f>
        <v>0</v>
      </c>
      <c r="G23" s="12" t="n">
        <v>1</v>
      </c>
      <c r="H23" s="12" t="n">
        <v>2</v>
      </c>
      <c r="I23" s="12" t="n">
        <v>4</v>
      </c>
      <c r="J23" s="12" t="n">
        <v>0</v>
      </c>
      <c r="K23" s="10"/>
      <c r="L23" s="12" t="n">
        <v>0</v>
      </c>
      <c r="M23" s="12" t="n">
        <v>2</v>
      </c>
      <c r="N23" s="12" t="n">
        <v>0</v>
      </c>
    </row>
    <row r="24" customFormat="false" ht="15" hidden="false" customHeight="false" outlineLevel="0" collapsed="false">
      <c r="A24" s="10"/>
      <c r="B24" s="10"/>
      <c r="C24" s="11" t="s">
        <v>53</v>
      </c>
      <c r="D24" s="12" t="n">
        <v>1</v>
      </c>
      <c r="E24" s="12" t="n">
        <v>0</v>
      </c>
      <c r="F24" s="12" t="n">
        <f aca="false">D24*E24</f>
        <v>0</v>
      </c>
      <c r="G24" s="12" t="n">
        <v>1</v>
      </c>
      <c r="H24" s="12" t="n">
        <v>2</v>
      </c>
      <c r="I24" s="12" t="n">
        <v>4</v>
      </c>
      <c r="J24" s="12" t="n">
        <v>0</v>
      </c>
      <c r="K24" s="10"/>
      <c r="L24" s="12" t="n">
        <v>0</v>
      </c>
      <c r="M24" s="12" t="n">
        <v>2</v>
      </c>
      <c r="N24" s="12" t="n">
        <v>0</v>
      </c>
    </row>
    <row r="25" customFormat="false" ht="15" hidden="false" customHeight="false" outlineLevel="0" collapsed="false">
      <c r="A25" s="10"/>
      <c r="B25" s="10"/>
      <c r="C25" s="11" t="s">
        <v>54</v>
      </c>
      <c r="D25" s="12" t="n">
        <v>1</v>
      </c>
      <c r="E25" s="12" t="n">
        <v>2</v>
      </c>
      <c r="F25" s="12" t="n">
        <f aca="false">D25*E25</f>
        <v>2</v>
      </c>
      <c r="G25" s="12" t="n">
        <v>0</v>
      </c>
      <c r="H25" s="12" t="n">
        <v>0</v>
      </c>
      <c r="I25" s="12" t="n">
        <v>0</v>
      </c>
      <c r="J25" s="12" t="n">
        <v>0</v>
      </c>
      <c r="K25" s="10"/>
      <c r="L25" s="12" t="n">
        <v>2</v>
      </c>
      <c r="M25" s="12" t="n">
        <v>0</v>
      </c>
      <c r="N25" s="12" t="n">
        <v>0</v>
      </c>
    </row>
    <row r="26" customFormat="false" ht="15" hidden="false" customHeight="false" outlineLevel="0" collapsed="false">
      <c r="A26" s="10"/>
      <c r="B26" s="10"/>
      <c r="C26" s="11" t="s">
        <v>55</v>
      </c>
      <c r="D26" s="12" t="n">
        <v>1</v>
      </c>
      <c r="E26" s="12" t="n">
        <v>2</v>
      </c>
      <c r="F26" s="12" t="n">
        <f aca="false">D26*E26</f>
        <v>2</v>
      </c>
      <c r="G26" s="12" t="n">
        <v>0</v>
      </c>
      <c r="H26" s="12" t="n">
        <v>0</v>
      </c>
      <c r="I26" s="12" t="n">
        <v>0</v>
      </c>
      <c r="J26" s="12" t="n">
        <v>0</v>
      </c>
      <c r="K26" s="10"/>
      <c r="L26" s="12" t="n">
        <v>2</v>
      </c>
      <c r="M26" s="12" t="n">
        <v>0</v>
      </c>
      <c r="N26" s="12" t="n">
        <v>0</v>
      </c>
    </row>
    <row r="27" customFormat="false" ht="15" hidden="false" customHeight="false" outlineLevel="0" collapsed="false">
      <c r="A27" s="10"/>
      <c r="B27" s="10"/>
      <c r="C27" s="11" t="s">
        <v>56</v>
      </c>
      <c r="D27" s="12" t="n">
        <v>1</v>
      </c>
      <c r="E27" s="12" t="n">
        <v>2</v>
      </c>
      <c r="F27" s="12" t="n">
        <f aca="false">D27*E27</f>
        <v>2</v>
      </c>
      <c r="G27" s="12" t="n">
        <v>0</v>
      </c>
      <c r="H27" s="12" t="n">
        <v>0</v>
      </c>
      <c r="I27" s="12" t="n">
        <v>0</v>
      </c>
      <c r="J27" s="12" t="n">
        <v>0</v>
      </c>
      <c r="K27" s="10"/>
      <c r="L27" s="12" t="n">
        <v>2</v>
      </c>
      <c r="M27" s="12" t="n">
        <v>0</v>
      </c>
      <c r="N27" s="12" t="n">
        <v>0</v>
      </c>
    </row>
    <row r="28" customFormat="false" ht="15" hidden="false" customHeight="false" outlineLevel="0" collapsed="false">
      <c r="A28" s="10" t="n">
        <v>3</v>
      </c>
      <c r="B28" s="10" t="s">
        <v>57</v>
      </c>
      <c r="C28" s="11" t="s">
        <v>58</v>
      </c>
      <c r="D28" s="12" t="n">
        <v>2</v>
      </c>
      <c r="E28" s="12" t="n">
        <v>3</v>
      </c>
      <c r="F28" s="12" t="n">
        <f aca="false">D28*E28</f>
        <v>6</v>
      </c>
      <c r="G28" s="12" t="n">
        <v>0</v>
      </c>
      <c r="H28" s="12" t="n">
        <v>0</v>
      </c>
      <c r="I28" s="12" t="n">
        <v>0</v>
      </c>
      <c r="J28" s="12" t="n">
        <v>0</v>
      </c>
      <c r="K28" s="10" t="n">
        <f aca="false">F28+I28+J28</f>
        <v>6</v>
      </c>
      <c r="L28" s="12" t="n">
        <v>3</v>
      </c>
      <c r="M28" s="12" t="n">
        <v>0</v>
      </c>
      <c r="N28" s="12" t="n">
        <v>0</v>
      </c>
    </row>
    <row r="29" customFormat="false" ht="15" hidden="false" customHeight="false" outlineLevel="0" collapsed="false">
      <c r="A29" s="10" t="n">
        <v>4</v>
      </c>
      <c r="B29" s="10" t="s">
        <v>59</v>
      </c>
      <c r="C29" s="11" t="s">
        <v>60</v>
      </c>
      <c r="D29" s="12" t="n">
        <v>2</v>
      </c>
      <c r="E29" s="12" t="n">
        <v>2</v>
      </c>
      <c r="F29" s="12" t="n">
        <f aca="false">D29*E29</f>
        <v>4</v>
      </c>
      <c r="G29" s="12" t="n">
        <v>6</v>
      </c>
      <c r="H29" s="12" t="n">
        <v>2</v>
      </c>
      <c r="I29" s="12" t="n">
        <v>12</v>
      </c>
      <c r="J29" s="12" t="n">
        <v>0</v>
      </c>
      <c r="K29" s="10" t="n">
        <f aca="false">F29+I29+J29</f>
        <v>16</v>
      </c>
      <c r="L29" s="12" t="n">
        <v>2</v>
      </c>
      <c r="M29" s="12" t="n">
        <v>1</v>
      </c>
      <c r="N29" s="12" t="n">
        <v>0</v>
      </c>
    </row>
    <row r="30" customFormat="false" ht="15" hidden="false" customHeight="false" outlineLevel="0" collapsed="false">
      <c r="A30" s="10" t="n">
        <v>5</v>
      </c>
      <c r="B30" s="10" t="s">
        <v>61</v>
      </c>
      <c r="C30" s="11" t="s">
        <v>62</v>
      </c>
      <c r="D30" s="12" t="n">
        <v>2</v>
      </c>
      <c r="E30" s="12" t="n">
        <v>2</v>
      </c>
      <c r="F30" s="12" t="n">
        <f aca="false">D30*E30</f>
        <v>4</v>
      </c>
      <c r="G30" s="12" t="n">
        <v>0</v>
      </c>
      <c r="H30" s="12" t="n">
        <v>0</v>
      </c>
      <c r="I30" s="12" t="n">
        <v>0</v>
      </c>
      <c r="J30" s="12" t="n">
        <v>0</v>
      </c>
      <c r="K30" s="10" t="n">
        <f aca="false">F30+I30+J30</f>
        <v>4</v>
      </c>
      <c r="L30" s="12" t="n">
        <v>2</v>
      </c>
      <c r="M30" s="12" t="n">
        <v>0</v>
      </c>
      <c r="N30" s="12" t="n">
        <v>0</v>
      </c>
    </row>
    <row r="31" customFormat="false" ht="15" hidden="false" customHeight="false" outlineLevel="0" collapsed="false">
      <c r="A31" s="10" t="n">
        <v>6</v>
      </c>
      <c r="B31" s="10" t="s">
        <v>63</v>
      </c>
      <c r="C31" s="11" t="s">
        <v>62</v>
      </c>
      <c r="D31" s="12" t="n">
        <v>1</v>
      </c>
      <c r="E31" s="12" t="n">
        <v>2</v>
      </c>
      <c r="F31" s="12" t="n">
        <f aca="false">D31*E31</f>
        <v>2</v>
      </c>
      <c r="G31" s="12" t="n">
        <v>0</v>
      </c>
      <c r="H31" s="12" t="n">
        <v>0</v>
      </c>
      <c r="I31" s="12" t="n">
        <v>0</v>
      </c>
      <c r="J31" s="12" t="n">
        <v>0</v>
      </c>
      <c r="K31" s="10" t="n">
        <f aca="false">F31+I31+J31</f>
        <v>2</v>
      </c>
      <c r="L31" s="12" t="n">
        <v>2</v>
      </c>
      <c r="M31" s="12" t="n">
        <v>0</v>
      </c>
      <c r="N31" s="12" t="n">
        <v>0</v>
      </c>
    </row>
    <row r="32" customFormat="false" ht="15" hidden="false" customHeight="true" outlineLevel="0" collapsed="false">
      <c r="A32" s="13" t="s">
        <v>64</v>
      </c>
      <c r="B32" s="13"/>
      <c r="C32" s="13"/>
      <c r="D32" s="13"/>
      <c r="E32" s="13"/>
      <c r="F32" s="14" t="n">
        <f aca="false">SUM(F12:F31)</f>
        <v>49</v>
      </c>
      <c r="G32" s="15"/>
      <c r="H32" s="15"/>
      <c r="I32" s="14" t="n">
        <f aca="false">SUM(I12:I31)</f>
        <v>36</v>
      </c>
      <c r="J32" s="14" t="n">
        <f aca="false">SUM(J12:J31)</f>
        <v>0</v>
      </c>
      <c r="K32" s="14" t="n">
        <f aca="false">K12+K19+K28+K29+K30+K31</f>
        <v>85</v>
      </c>
      <c r="L32" s="14" t="n">
        <f aca="false">SUM(L12:L31)</f>
        <v>40</v>
      </c>
      <c r="M32" s="14" t="n">
        <f aca="false">SUM(M12:M31)</f>
        <v>13</v>
      </c>
      <c r="N32" s="14" t="n">
        <f aca="false">SUM(N12:N31)</f>
        <v>0</v>
      </c>
    </row>
    <row r="34" customFormat="false" ht="15" hidden="false" customHeight="false" outlineLevel="0" collapsed="false">
      <c r="A34" s="16" t="s">
        <v>65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customFormat="false" ht="15" hidden="false" customHeight="false" outlineLevel="0" collapsed="false">
      <c r="A35" s="16" t="s">
        <v>66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8" customFormat="false" ht="15" hidden="false" customHeight="false" outlineLevel="0" collapsed="false">
      <c r="A38" s="17" t="s">
        <v>67</v>
      </c>
      <c r="F38" s="17" t="s">
        <v>68</v>
      </c>
      <c r="K38" s="17" t="s">
        <v>69</v>
      </c>
    </row>
  </sheetData>
  <mergeCells count="32">
    <mergeCell ref="A1:N1"/>
    <mergeCell ref="A2:N2"/>
    <mergeCell ref="A3:N3"/>
    <mergeCell ref="A4:N4"/>
    <mergeCell ref="A5:N5"/>
    <mergeCell ref="A6:N6"/>
    <mergeCell ref="A7:A9"/>
    <mergeCell ref="B7:B9"/>
    <mergeCell ref="C7:C9"/>
    <mergeCell ref="D7:D9"/>
    <mergeCell ref="E7:F7"/>
    <mergeCell ref="G7:I7"/>
    <mergeCell ref="J7:J9"/>
    <mergeCell ref="K7:K9"/>
    <mergeCell ref="L7:N7"/>
    <mergeCell ref="E8:E9"/>
    <mergeCell ref="F8:F9"/>
    <mergeCell ref="G8:G9"/>
    <mergeCell ref="H8:H9"/>
    <mergeCell ref="I8:I9"/>
    <mergeCell ref="L8:L9"/>
    <mergeCell ref="M8:M9"/>
    <mergeCell ref="N8:N9"/>
    <mergeCell ref="A12:A18"/>
    <mergeCell ref="B12:B18"/>
    <mergeCell ref="K12:K18"/>
    <mergeCell ref="A19:A27"/>
    <mergeCell ref="B19:B27"/>
    <mergeCell ref="K19:K27"/>
    <mergeCell ref="A32:E32"/>
    <mergeCell ref="A34:N34"/>
    <mergeCell ref="A35:N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2026-08-19T06:36:48Z</dcterms:created>
  <dc:creator>openpyxl</dc:creator>
  <dc:description/>
  <dc:language>en-US</dc:language>
  <cp:lastModifiedBy/>
  <dcterms:modified xsi:type="dcterms:W3CDTF">2026-08-19T06:36:48Z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