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30" windowWidth="16935" windowHeight="8895" activeTab="2"/>
  </bookViews>
  <sheets>
    <sheet name="Part-1" sheetId="1" r:id="rId1"/>
    <sheet name="Part-2" sheetId="2" r:id="rId2"/>
    <sheet name="Load distribution Part-1" sheetId="3" r:id="rId3"/>
  </sheets>
  <calcPr calcId="144525"/>
</workbook>
</file>

<file path=xl/calcChain.xml><?xml version="1.0" encoding="utf-8"?>
<calcChain xmlns="http://schemas.openxmlformats.org/spreadsheetml/2006/main">
  <c r="O82" i="2" l="1"/>
  <c r="O84" i="1"/>
  <c r="L77" i="2"/>
  <c r="L78" i="2"/>
  <c r="L79" i="2"/>
  <c r="L80" i="2"/>
  <c r="L81" i="2"/>
  <c r="G78" i="2"/>
  <c r="G79" i="2"/>
  <c r="G80" i="2"/>
  <c r="G77" i="2"/>
  <c r="J81" i="2"/>
  <c r="J80" i="2"/>
  <c r="J79" i="2"/>
  <c r="J78" i="2"/>
  <c r="J77" i="2"/>
  <c r="G80" i="1"/>
  <c r="G81" i="1"/>
  <c r="G82" i="1"/>
  <c r="G83" i="1"/>
  <c r="G79" i="1"/>
  <c r="J83" i="1"/>
  <c r="J82" i="1"/>
  <c r="L82" i="1" s="1"/>
  <c r="J81" i="1"/>
  <c r="J80" i="1"/>
  <c r="L80" i="1" s="1"/>
  <c r="J79" i="1"/>
  <c r="G74" i="2"/>
  <c r="G75" i="2"/>
  <c r="G73" i="2"/>
  <c r="J76" i="2"/>
  <c r="L76" i="2" s="1"/>
  <c r="J75" i="2"/>
  <c r="J74" i="2"/>
  <c r="L74" i="2" s="1"/>
  <c r="J73" i="2"/>
  <c r="L73" i="2" s="1"/>
  <c r="J78" i="1"/>
  <c r="L78" i="1" s="1"/>
  <c r="J77" i="1"/>
  <c r="J76" i="1"/>
  <c r="J75" i="1"/>
  <c r="G77" i="1"/>
  <c r="G76" i="1"/>
  <c r="G75" i="1"/>
  <c r="L71" i="2"/>
  <c r="J72" i="2"/>
  <c r="L72" i="2" s="1"/>
  <c r="J71" i="2"/>
  <c r="L70" i="1"/>
  <c r="G71" i="2"/>
  <c r="G72" i="2"/>
  <c r="G67" i="2"/>
  <c r="L67" i="2" s="1"/>
  <c r="G68" i="2"/>
  <c r="L68" i="2" s="1"/>
  <c r="G69" i="2"/>
  <c r="L69" i="2" s="1"/>
  <c r="G70" i="2"/>
  <c r="L70" i="2" s="1"/>
  <c r="G66" i="2"/>
  <c r="L66" i="2" s="1"/>
  <c r="I31" i="3"/>
  <c r="O69" i="1"/>
  <c r="O70" i="1"/>
  <c r="O71" i="1"/>
  <c r="O72" i="1"/>
  <c r="O73" i="1"/>
  <c r="O74" i="1"/>
  <c r="O68" i="1"/>
  <c r="L69" i="1"/>
  <c r="L71" i="1"/>
  <c r="L72" i="1"/>
  <c r="L73" i="1"/>
  <c r="L74" i="1"/>
  <c r="L68" i="1"/>
  <c r="L81" i="1" l="1"/>
  <c r="L83" i="1"/>
  <c r="L79" i="1"/>
  <c r="L75" i="1"/>
  <c r="L75" i="2"/>
  <c r="L76" i="1"/>
  <c r="L77" i="1"/>
  <c r="I29" i="3"/>
  <c r="I22" i="3"/>
  <c r="I17" i="3"/>
  <c r="I15" i="3"/>
  <c r="I34" i="3" l="1"/>
  <c r="I32" i="3"/>
  <c r="I30" i="3"/>
  <c r="I24" i="3"/>
  <c r="I16" i="3"/>
  <c r="I20" i="3"/>
  <c r="I26" i="3"/>
  <c r="I27" i="3"/>
  <c r="I33" i="3"/>
  <c r="I35" i="3"/>
  <c r="I36" i="3"/>
  <c r="I39" i="3"/>
  <c r="I12" i="3"/>
  <c r="J32" i="3" l="1"/>
  <c r="N82" i="2"/>
  <c r="M82" i="2"/>
  <c r="L65" i="2"/>
  <c r="J64" i="2"/>
  <c r="G64" i="2"/>
  <c r="L63" i="2"/>
  <c r="L62" i="2"/>
  <c r="L61" i="2"/>
  <c r="L60" i="2"/>
  <c r="L59" i="2"/>
  <c r="L58" i="2"/>
  <c r="L57" i="2"/>
  <c r="J56" i="2"/>
  <c r="G56" i="2"/>
  <c r="J55" i="2"/>
  <c r="G55" i="2"/>
  <c r="J54" i="2"/>
  <c r="G54" i="2"/>
  <c r="J53" i="2"/>
  <c r="G53" i="2"/>
  <c r="J52" i="2"/>
  <c r="G52" i="2"/>
  <c r="J51" i="2"/>
  <c r="G51" i="2"/>
  <c r="L50" i="2"/>
  <c r="J49" i="2"/>
  <c r="G49" i="2"/>
  <c r="J48" i="2"/>
  <c r="G48" i="2"/>
  <c r="L47" i="2"/>
  <c r="L46" i="2"/>
  <c r="L45" i="2"/>
  <c r="L44" i="2"/>
  <c r="L43" i="2"/>
  <c r="L42" i="2"/>
  <c r="L41" i="2"/>
  <c r="L40" i="2"/>
  <c r="L39" i="2"/>
  <c r="J38" i="2"/>
  <c r="G38" i="2"/>
  <c r="J37" i="2"/>
  <c r="G37" i="2"/>
  <c r="J36" i="2"/>
  <c r="G36" i="2"/>
  <c r="J35" i="2"/>
  <c r="G35" i="2"/>
  <c r="J34" i="2"/>
  <c r="G34" i="2"/>
  <c r="J33" i="2"/>
  <c r="G33" i="2"/>
  <c r="J32" i="2"/>
  <c r="G32" i="2"/>
  <c r="J31" i="2"/>
  <c r="G31" i="2"/>
  <c r="J30" i="2"/>
  <c r="G30" i="2"/>
  <c r="J29" i="2"/>
  <c r="G29" i="2"/>
  <c r="J28" i="2"/>
  <c r="G28" i="2"/>
  <c r="J27" i="2"/>
  <c r="G27" i="2"/>
  <c r="J26" i="2"/>
  <c r="G26" i="2"/>
  <c r="J25" i="2"/>
  <c r="G25" i="2"/>
  <c r="J24" i="2"/>
  <c r="G24" i="2"/>
  <c r="J23" i="2"/>
  <c r="G23" i="2"/>
  <c r="J22" i="2"/>
  <c r="G22" i="2"/>
  <c r="J21" i="2"/>
  <c r="G21" i="2"/>
  <c r="J20" i="2"/>
  <c r="G20" i="2"/>
  <c r="J19" i="2"/>
  <c r="G19" i="2"/>
  <c r="J18" i="2"/>
  <c r="G18" i="2"/>
  <c r="J17" i="2"/>
  <c r="G17" i="2"/>
  <c r="J16" i="2"/>
  <c r="G16" i="2"/>
  <c r="J15" i="2"/>
  <c r="G15" i="2"/>
  <c r="J14" i="2"/>
  <c r="G14" i="2"/>
  <c r="N84" i="1"/>
  <c r="M84" i="1"/>
  <c r="G67" i="1"/>
  <c r="L67" i="1" s="1"/>
  <c r="G66" i="1"/>
  <c r="L66" i="1" s="1"/>
  <c r="L65" i="1"/>
  <c r="L64" i="1"/>
  <c r="G63" i="1"/>
  <c r="L63" i="1" s="1"/>
  <c r="G62" i="1"/>
  <c r="L62" i="1" s="1"/>
  <c r="G61" i="1"/>
  <c r="L61" i="1" s="1"/>
  <c r="G60" i="1"/>
  <c r="L60" i="1" s="1"/>
  <c r="J59" i="1"/>
  <c r="G59" i="1"/>
  <c r="G58" i="1"/>
  <c r="L58" i="1" s="1"/>
  <c r="J57" i="1"/>
  <c r="G57" i="1"/>
  <c r="L56" i="1"/>
  <c r="L55" i="1"/>
  <c r="L54" i="1"/>
  <c r="L53" i="1"/>
  <c r="J52" i="1"/>
  <c r="G52" i="1"/>
  <c r="J51" i="1"/>
  <c r="G51" i="1"/>
  <c r="J50" i="1"/>
  <c r="G50" i="1"/>
  <c r="G49" i="1"/>
  <c r="L49" i="1" s="1"/>
  <c r="G48" i="1"/>
  <c r="L48" i="1" s="1"/>
  <c r="L47" i="1"/>
  <c r="L46" i="1"/>
  <c r="G45" i="1"/>
  <c r="L45" i="1" s="1"/>
  <c r="G44" i="1"/>
  <c r="L44" i="1" s="1"/>
  <c r="G43" i="1"/>
  <c r="L43" i="1" s="1"/>
  <c r="G42" i="1"/>
  <c r="L42" i="1" s="1"/>
  <c r="G41" i="1"/>
  <c r="L41" i="1" s="1"/>
  <c r="G40" i="1"/>
  <c r="L40" i="1" s="1"/>
  <c r="G39" i="1"/>
  <c r="L39" i="1" s="1"/>
  <c r="J38" i="1"/>
  <c r="G38" i="1"/>
  <c r="J37" i="1"/>
  <c r="G37" i="1"/>
  <c r="J36" i="1"/>
  <c r="G36" i="1"/>
  <c r="J35" i="1"/>
  <c r="G35" i="1"/>
  <c r="J34" i="1"/>
  <c r="G34" i="1"/>
  <c r="G33" i="1"/>
  <c r="L33" i="1" s="1"/>
  <c r="J32" i="1"/>
  <c r="G32" i="1"/>
  <c r="J31" i="1"/>
  <c r="G31" i="1"/>
  <c r="J30" i="1"/>
  <c r="G30" i="1"/>
  <c r="J29" i="1"/>
  <c r="G29" i="1"/>
  <c r="J28" i="1"/>
  <c r="G28" i="1"/>
  <c r="J27" i="1"/>
  <c r="G27" i="1"/>
  <c r="J26" i="1"/>
  <c r="L26" i="1" s="1"/>
  <c r="J25" i="1"/>
  <c r="L25" i="1" s="1"/>
  <c r="J24" i="1"/>
  <c r="L24" i="1" s="1"/>
  <c r="J23" i="1"/>
  <c r="L23" i="1" s="1"/>
  <c r="J22" i="1"/>
  <c r="L22" i="1" s="1"/>
  <c r="J21" i="1"/>
  <c r="L21" i="1" s="1"/>
  <c r="J20" i="1"/>
  <c r="L20" i="1" s="1"/>
  <c r="J19" i="1"/>
  <c r="G19" i="1"/>
  <c r="J18" i="1"/>
  <c r="L18" i="1" s="1"/>
  <c r="J17" i="1"/>
  <c r="G17" i="1"/>
  <c r="J16" i="1"/>
  <c r="L16" i="1" s="1"/>
  <c r="J15" i="1"/>
  <c r="L48" i="2" l="1"/>
  <c r="L64" i="2"/>
  <c r="J82" i="2"/>
  <c r="L49" i="2"/>
  <c r="L15" i="2"/>
  <c r="L17" i="2"/>
  <c r="L19" i="2"/>
  <c r="L21" i="2"/>
  <c r="L23" i="2"/>
  <c r="L25" i="2"/>
  <c r="L27" i="2"/>
  <c r="L29" i="2"/>
  <c r="L31" i="2"/>
  <c r="L33" i="2"/>
  <c r="L35" i="2"/>
  <c r="L37" i="2"/>
  <c r="L52" i="2"/>
  <c r="L54" i="2"/>
  <c r="L56" i="2"/>
  <c r="L34" i="1"/>
  <c r="L38" i="1"/>
  <c r="L57" i="1"/>
  <c r="L29" i="1"/>
  <c r="L30" i="1"/>
  <c r="L28" i="1"/>
  <c r="L19" i="1"/>
  <c r="L50" i="1"/>
  <c r="L52" i="1"/>
  <c r="L27" i="1"/>
  <c r="L31" i="1"/>
  <c r="L36" i="1"/>
  <c r="L51" i="1"/>
  <c r="G82" i="2"/>
  <c r="L16" i="2"/>
  <c r="L18" i="2"/>
  <c r="L20" i="2"/>
  <c r="L22" i="2"/>
  <c r="L24" i="2"/>
  <c r="L26" i="2"/>
  <c r="L28" i="2"/>
  <c r="L30" i="2"/>
  <c r="L32" i="2"/>
  <c r="L34" i="2"/>
  <c r="L36" i="2"/>
  <c r="L38" i="2"/>
  <c r="L51" i="2"/>
  <c r="L53" i="2"/>
  <c r="L55" i="2"/>
  <c r="J84" i="1"/>
  <c r="L32" i="1"/>
  <c r="G84" i="1"/>
  <c r="L35" i="1"/>
  <c r="L37" i="1"/>
  <c r="L59" i="1"/>
  <c r="L17" i="1"/>
  <c r="L14" i="2"/>
  <c r="L15" i="1"/>
  <c r="L82" i="2" l="1"/>
  <c r="L84" i="1"/>
</calcChain>
</file>

<file path=xl/sharedStrings.xml><?xml version="1.0" encoding="utf-8"?>
<sst xmlns="http://schemas.openxmlformats.org/spreadsheetml/2006/main" count="356" uniqueCount="206">
  <si>
    <r>
      <rPr>
        <b/>
        <sz val="16"/>
        <color rgb="FF000000"/>
        <rFont val="Times New Roman"/>
      </rPr>
      <t>MGM University</t>
    </r>
    <r>
      <rPr>
        <b/>
        <sz val="14"/>
        <color rgb="FF000000"/>
        <rFont val="Times New Roman"/>
      </rPr>
      <t xml:space="preserve">
</t>
    </r>
    <r>
      <rPr>
        <b/>
        <sz val="12"/>
        <color rgb="FF000000"/>
        <rFont val="Times New Roman"/>
      </rPr>
      <t>Chhatrapati Sambhajinagar</t>
    </r>
  </si>
  <si>
    <t>Academic year 2026-27 (Part 1)</t>
  </si>
  <si>
    <t>School of Engineering and Technology</t>
  </si>
  <si>
    <t>Mechanical Engineering Department</t>
  </si>
  <si>
    <t>Teaching Workload</t>
  </si>
  <si>
    <t>Teaching Scheme</t>
  </si>
  <si>
    <t>Sr. No.</t>
  </si>
  <si>
    <t>Class</t>
  </si>
  <si>
    <t>Name of Course / Subject</t>
  </si>
  <si>
    <t>No. of Divisions</t>
  </si>
  <si>
    <t>No. of Students in class</t>
  </si>
  <si>
    <t>Theory (L)</t>
  </si>
  <si>
    <t>Practical (P)</t>
  </si>
  <si>
    <t>Tutorial (T)</t>
  </si>
  <si>
    <t>Total Teaching Hours</t>
  </si>
  <si>
    <t>Credits for Course / Subject</t>
  </si>
  <si>
    <t>Hrs per week</t>
  </si>
  <si>
    <t>Total (Hrs per week)</t>
  </si>
  <si>
    <t>No. of Batches</t>
  </si>
  <si>
    <t xml:space="preserve">Hrs per week </t>
  </si>
  <si>
    <t>L</t>
  </si>
  <si>
    <t>P</t>
  </si>
  <si>
    <t>T</t>
  </si>
  <si>
    <t>(4*5)</t>
  </si>
  <si>
    <t>(7*8)</t>
  </si>
  <si>
    <t>(6+9+10)</t>
  </si>
  <si>
    <t xml:space="preserve">FE (R) </t>
  </si>
  <si>
    <t>Engineering Exploration**</t>
  </si>
  <si>
    <t>Recent Trends in Integrated Technology**</t>
  </si>
  <si>
    <t>Engineering Graphics</t>
  </si>
  <si>
    <t>FE (I)</t>
  </si>
  <si>
    <t>Introduction to Engineering*</t>
  </si>
  <si>
    <t>Information  and Communication Technology Lab**</t>
  </si>
  <si>
    <t>SE (I) RAI</t>
  </si>
  <si>
    <t>Mathematics - III*</t>
  </si>
  <si>
    <t>Physics - III*</t>
  </si>
  <si>
    <t>Introduction to AI &amp; Data Science**</t>
  </si>
  <si>
    <t>Basics of Electrical and Electronics Engineering*</t>
  </si>
  <si>
    <t>Programming in C Language*</t>
  </si>
  <si>
    <t>Social &amp; Life Skill Lab*</t>
  </si>
  <si>
    <t>Engineering Workshop - II**</t>
  </si>
  <si>
    <t>TE (I) RAI</t>
  </si>
  <si>
    <t xml:space="preserve">Fluid Mechanics </t>
  </si>
  <si>
    <t>Theory of Machnines and Mechanisms</t>
  </si>
  <si>
    <t xml:space="preserve">Solid Modeling </t>
  </si>
  <si>
    <t>Material science</t>
  </si>
  <si>
    <t>Programming in C*</t>
  </si>
  <si>
    <t>Gandhian Studies*</t>
  </si>
  <si>
    <t>FO (I) RAI</t>
  </si>
  <si>
    <t>Business Management &amp; Financial Accounting*</t>
  </si>
  <si>
    <t>Introduction to Robotics</t>
  </si>
  <si>
    <t>Fundamentals of AI</t>
  </si>
  <si>
    <t>Analog &amp; Digital Electronics*</t>
  </si>
  <si>
    <t>Field Project</t>
  </si>
  <si>
    <t>Constitution of India*</t>
  </si>
  <si>
    <t>Open Elective*</t>
  </si>
  <si>
    <t>MDM*</t>
  </si>
  <si>
    <t>FI (I) RAI</t>
  </si>
  <si>
    <t>Machine Design</t>
  </si>
  <si>
    <t>Robot Kinematics &amp; Dynamics</t>
  </si>
  <si>
    <t>Machine Learning*</t>
  </si>
  <si>
    <t>Industrial Hydraulics &amp; Pneumatics</t>
  </si>
  <si>
    <t>Inroduction to Data Science*</t>
  </si>
  <si>
    <t>Robot &amp; Machine Vision System</t>
  </si>
  <si>
    <t>SE ( R ) RA</t>
  </si>
  <si>
    <t>Machine Drawing &amp; CAD Lab</t>
  </si>
  <si>
    <t>TE (R) RA</t>
  </si>
  <si>
    <t>Mechatronics</t>
  </si>
  <si>
    <t>Group - A Inroduction to Data Science*</t>
  </si>
  <si>
    <t>Group - B Robot &amp; Machine Vision System</t>
  </si>
  <si>
    <t>TOTAL</t>
  </si>
  <si>
    <t>GRAND TOTAL</t>
  </si>
  <si>
    <t xml:space="preserve">Note : </t>
  </si>
  <si>
    <t>* Load taken by other department/Institute staff</t>
  </si>
  <si>
    <t xml:space="preserve"> </t>
  </si>
  <si>
    <t>** Load of other departments taken by Mechanical Engineering Department.</t>
  </si>
  <si>
    <t>Head of Department</t>
  </si>
  <si>
    <t>Head of Institute</t>
  </si>
  <si>
    <t>Dean</t>
  </si>
  <si>
    <r>
      <rPr>
        <b/>
        <sz val="16"/>
        <color rgb="FF000000"/>
        <rFont val="Times New Roman"/>
      </rPr>
      <t xml:space="preserve">MGM University,
</t>
    </r>
    <r>
      <rPr>
        <b/>
        <sz val="14"/>
        <color rgb="FF000000"/>
        <rFont val="Times New Roman"/>
      </rPr>
      <t>Chhatrapati Sambhajinagar.</t>
    </r>
  </si>
  <si>
    <t>Academic year 2026-27 (Part 2)</t>
  </si>
  <si>
    <t>Department: Mechanical Engineering</t>
  </si>
  <si>
    <t>Program/
Class</t>
  </si>
  <si>
    <t>No of Students in Class</t>
  </si>
  <si>
    <t>Workshop Practices**</t>
  </si>
  <si>
    <t>Engineering Workshop-I**</t>
  </si>
  <si>
    <t>Elements of Mechanical Engineering**</t>
  </si>
  <si>
    <t>Mathematics IV*</t>
  </si>
  <si>
    <t>Basics of Engineering Drawing**</t>
  </si>
  <si>
    <t>Introduction to Robotics**</t>
  </si>
  <si>
    <t>Basics of Civil Engineering*</t>
  </si>
  <si>
    <t>Introduction to Cyber-Security and Block Chain*</t>
  </si>
  <si>
    <t>Fundamentals of IoT Lab**</t>
  </si>
  <si>
    <t>Computer Aided Drafting</t>
  </si>
  <si>
    <t>Advance Manufacturing Processes</t>
  </si>
  <si>
    <t>Industrial Automation</t>
  </si>
  <si>
    <t>Python Programming*</t>
  </si>
  <si>
    <t>Object Oriented Prog. Using C++*</t>
  </si>
  <si>
    <t>Communication Skill*</t>
  </si>
  <si>
    <t>Industrial Engineering</t>
  </si>
  <si>
    <t>Mechanism of Machines</t>
  </si>
  <si>
    <t>Sensors and Actuators</t>
  </si>
  <si>
    <t>Microprocessor and Microcontroller*</t>
  </si>
  <si>
    <t>Energy Conservation and Management</t>
  </si>
  <si>
    <t>Entrepreneurship Development*</t>
  </si>
  <si>
    <t>Industrial Robotics &amp; PLC Programming</t>
  </si>
  <si>
    <t>Refer MGMU MDM Basket*</t>
  </si>
  <si>
    <t>Refer MGMU Open Elective Basket*</t>
  </si>
  <si>
    <t>Refer MGMU AEC Basket*</t>
  </si>
  <si>
    <t>Robot Programming</t>
  </si>
  <si>
    <t>Robotics Applications</t>
  </si>
  <si>
    <t>Industrial IoT*</t>
  </si>
  <si>
    <t>Data Modelling and Visualisation*</t>
  </si>
  <si>
    <t>Filed and Service Robotics</t>
  </si>
  <si>
    <t>Cloud Computing*</t>
  </si>
  <si>
    <t>Mobile Robotics</t>
  </si>
  <si>
    <t>CAD and Robotics Simulation</t>
  </si>
  <si>
    <t>Workshop Practices-I*</t>
  </si>
  <si>
    <t>Environmental Studies*</t>
  </si>
  <si>
    <t>Instrumentation and Control System*</t>
  </si>
  <si>
    <t>Group A - Data Modelling and Visualisation*</t>
  </si>
  <si>
    <t>Group B - Field and Service Robotics</t>
  </si>
  <si>
    <t>Group C - Cloud Computing*</t>
  </si>
  <si>
    <t>Group D - Mobile Robotics</t>
  </si>
  <si>
    <t>Workshop Practices-II*</t>
  </si>
  <si>
    <r>
      <t xml:space="preserve">MGM University
</t>
    </r>
    <r>
      <rPr>
        <b/>
        <sz val="12"/>
        <color rgb="FF000000"/>
        <rFont val="Times New Roman"/>
        <family val="1"/>
      </rPr>
      <t>Chhatrapati Sambhajinagar</t>
    </r>
  </si>
  <si>
    <t xml:space="preserve">School of Engineering and Technology </t>
  </si>
  <si>
    <t>Teaching Workload Distribution</t>
  </si>
  <si>
    <r>
      <t>(</t>
    </r>
    <r>
      <rPr>
        <b/>
        <sz val="12"/>
        <rFont val="Times New Roman"/>
        <family val="1"/>
      </rPr>
      <t>Note</t>
    </r>
    <r>
      <rPr>
        <sz val="12"/>
        <rFont val="Times New Roman"/>
        <family val="1"/>
      </rPr>
      <t xml:space="preserve"> - Include workload distribution of Regular / Visiting / Emeritus / Adjunct / Adhoc faculty)</t>
    </r>
  </si>
  <si>
    <t>Name of Course Teacher</t>
  </si>
  <si>
    <t>Designation</t>
  </si>
  <si>
    <t>Type of Appointment (Regular / Visiting / Emeritus / Adjunct / Adhoc)</t>
  </si>
  <si>
    <t>Complete Course Name</t>
  </si>
  <si>
    <t>Theory (Hours)</t>
  </si>
  <si>
    <t>Practical (Hours)</t>
  </si>
  <si>
    <t>Total (Hours)</t>
  </si>
  <si>
    <t>Mr. Siddiqui J.A.</t>
  </si>
  <si>
    <t>HOD &amp; Assistant Professor</t>
  </si>
  <si>
    <t>Regular</t>
  </si>
  <si>
    <t>FE (R)</t>
  </si>
  <si>
    <t>Recent Trends in Integrated Technology</t>
  </si>
  <si>
    <t>Mr.Lahane U.S.</t>
  </si>
  <si>
    <t>Assistant Professor</t>
  </si>
  <si>
    <t>Mr.Lokawar V.L.</t>
  </si>
  <si>
    <t>Solid Modelling</t>
  </si>
  <si>
    <t>Mr.Nagre G.P.</t>
  </si>
  <si>
    <t>Mr.Parihar A.A.</t>
  </si>
  <si>
    <t>Theory of Machine &amp; Mechanism</t>
  </si>
  <si>
    <t>Mr.Parbhane U.M.</t>
  </si>
  <si>
    <t>Material Science</t>
  </si>
  <si>
    <t>Mr.Kadam S.S.</t>
  </si>
  <si>
    <t>Fluid Mechanics</t>
  </si>
  <si>
    <t>Remaining workload and provisions done - 00</t>
  </si>
  <si>
    <t>FI (I) - RAI</t>
  </si>
  <si>
    <t>Information &amp; Communication Technology</t>
  </si>
  <si>
    <t>SE (I)</t>
  </si>
  <si>
    <t>Engineering Exploration</t>
  </si>
  <si>
    <t>Engineering Workshop - II</t>
  </si>
  <si>
    <t>Faculty Position</t>
  </si>
  <si>
    <t>Teaching Load as per Norms (Hrs)</t>
  </si>
  <si>
    <t>Available Faculty</t>
  </si>
  <si>
    <t>Total Load Distributed (Hrs)</t>
  </si>
  <si>
    <t>Remaining Load (Hrs)</t>
  </si>
  <si>
    <t>Professor</t>
  </si>
  <si>
    <t>Associate Professor</t>
  </si>
  <si>
    <t>SWATI
DSMA</t>
  </si>
  <si>
    <t>Basic Engineering Drawing &amp; CAD</t>
  </si>
  <si>
    <t>Basics of Manufacturing Technology</t>
  </si>
  <si>
    <t>Workshop Practice – I (Fitting, Carpentry)</t>
  </si>
  <si>
    <t>-</t>
  </si>
  <si>
    <t>Engineering Physics &amp; Materials*</t>
  </si>
  <si>
    <t>Applied Mathematics – I*</t>
  </si>
  <si>
    <t>Electrical &amp; Electronics Fundamentals*</t>
  </si>
  <si>
    <t>Communication Skills &amp; Workplace Etiquette*</t>
  </si>
  <si>
    <t>DSMA</t>
  </si>
  <si>
    <t>CNC Technology</t>
  </si>
  <si>
    <t>Hydraulics &amp; Pneumatics</t>
  </si>
  <si>
    <t>Advance Manufacturing Process</t>
  </si>
  <si>
    <t>Computer Aided Design (AutoCAD / Solid Works)</t>
  </si>
  <si>
    <t>Industrial Automation Workshop</t>
  </si>
  <si>
    <t>ADIS</t>
  </si>
  <si>
    <t>DFSE 
(FR)</t>
  </si>
  <si>
    <t xml:space="preserve">Fire Chemistry </t>
  </si>
  <si>
    <t>Safety Management</t>
  </si>
  <si>
    <t xml:space="preserve">Business Communication Skill  </t>
  </si>
  <si>
    <t>Squad Drill Lab</t>
  </si>
  <si>
    <t xml:space="preserve">Fire Service Organization </t>
  </si>
  <si>
    <t>Equipments and Appliances</t>
  </si>
  <si>
    <t xml:space="preserve">Universal Human Value </t>
  </si>
  <si>
    <t>Equipments Drill Lab</t>
  </si>
  <si>
    <t xml:space="preserve">Safety Legislation </t>
  </si>
  <si>
    <t>Industrial Hygiene and
Occupational Health</t>
  </si>
  <si>
    <t>Universal Human Values</t>
  </si>
  <si>
    <t>Safety In Construction
Industries</t>
  </si>
  <si>
    <t xml:space="preserve">Environmental
Management </t>
  </si>
  <si>
    <t xml:space="preserve">Safety In Industry </t>
  </si>
  <si>
    <t>Quality Control in
Occupational Safety and
Health</t>
  </si>
  <si>
    <t xml:space="preserve">Project </t>
  </si>
  <si>
    <t>Applied Mathematics – II*</t>
  </si>
  <si>
    <t xml:space="preserve">Safety In Engineering
Industry </t>
  </si>
  <si>
    <t xml:space="preserve">Industrial Safety
Management </t>
  </si>
  <si>
    <t>Load taken by Mechanical Department = 230</t>
  </si>
  <si>
    <t>Load taken by Other Department/Institute Staff  = 164</t>
  </si>
  <si>
    <t>Load taken by Mechanical Department = 238</t>
  </si>
  <si>
    <t>Load taken by Other Department/Institute Staff  = 135</t>
  </si>
  <si>
    <t>* Faculty required for Fire Service Engineering Courses =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</si>
</sst>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3">
    <font>
      <sz val="11"/>
      <color theme="1"/>
      <name val="Calibri"/>
      <scheme val="minor"/>
    </font>
    <font>
      <b/>
      <sz val="14"/>
      <color rgb="FF000000"/>
      <name val="Times New Roman"/>
    </font>
    <font>
      <sz val="11"/>
      <color rgb="FF000000"/>
      <name val="Times New Roman"/>
    </font>
    <font>
      <b/>
      <sz val="12"/>
      <color rgb="FF000000"/>
      <name val="Times New Roman"/>
    </font>
    <font>
      <sz val="11"/>
      <name val="Calibri"/>
    </font>
    <font>
      <b/>
      <sz val="11"/>
      <color rgb="FF000000"/>
      <name val="Times New Roman"/>
    </font>
    <font>
      <i/>
      <sz val="12"/>
      <color rgb="FF000000"/>
      <name val="Times New Roman"/>
    </font>
    <font>
      <sz val="12"/>
      <color rgb="FF000000"/>
      <name val="Times New Roman"/>
    </font>
    <font>
      <b/>
      <sz val="12"/>
      <color theme="1"/>
      <name val="Times New Roman"/>
    </font>
    <font>
      <sz val="10"/>
      <color theme="1"/>
      <name val="Times New Roman"/>
    </font>
    <font>
      <sz val="12"/>
      <color theme="1"/>
      <name val="Times New Roman"/>
    </font>
    <font>
      <sz val="11"/>
      <color theme="1"/>
      <name val="Times New Roman"/>
    </font>
    <font>
      <sz val="11"/>
      <color rgb="FF000000"/>
      <name val="Calibri"/>
    </font>
    <font>
      <b/>
      <sz val="16"/>
      <color rgb="FF000000"/>
      <name val="Times New Roman"/>
    </font>
    <font>
      <sz val="11"/>
      <color theme="1"/>
      <name val="Times New Roman"/>
    </font>
    <font>
      <b/>
      <sz val="10"/>
      <color theme="1"/>
      <name val="Times New Roman"/>
    </font>
    <font>
      <sz val="11"/>
      <color theme="1"/>
      <name val="Calibri"/>
    </font>
    <font>
      <b/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indexed="8"/>
      <name val="Times New Roman"/>
      <family val="1"/>
    </font>
    <font>
      <sz val="8"/>
      <color rgb="FF000000"/>
      <name val="Times New Roman"/>
      <family val="1"/>
    </font>
    <font>
      <sz val="8"/>
      <color indexed="8"/>
      <name val="Times New Roman"/>
      <family val="1"/>
    </font>
    <font>
      <sz val="8"/>
      <name val="Times New Roman"/>
      <family val="1"/>
    </font>
    <font>
      <b/>
      <sz val="14"/>
      <color indexed="8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8"/>
      <name val="Times New Roman"/>
      <family val="1"/>
    </font>
    <font>
      <b/>
      <sz val="10"/>
      <name val="Times New Roman"/>
      <family val="1"/>
    </font>
    <font>
      <b/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b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24" fillId="0" borderId="16"/>
  </cellStyleXfs>
  <cellXfs count="258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2" fillId="0" borderId="5" xfId="0" applyFont="1" applyBorder="1"/>
    <xf numFmtId="0" fontId="7" fillId="0" borderId="4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0" borderId="13" xfId="0" applyFont="1" applyBorder="1"/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11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2" fillId="0" borderId="0" xfId="0" applyFont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left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 vertical="center" wrapText="1"/>
    </xf>
    <xf numFmtId="0" fontId="7" fillId="2" borderId="2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left" vertical="center" wrapText="1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left" vertical="center" wrapText="1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9" fillId="0" borderId="0" xfId="0" applyFont="1" applyFill="1"/>
    <xf numFmtId="0" fontId="20" fillId="0" borderId="0" xfId="0" applyFont="1" applyFill="1" applyAlignment="1">
      <alignment horizontal="center"/>
    </xf>
    <xf numFmtId="0" fontId="21" fillId="0" borderId="0" xfId="0" applyFont="1" applyFill="1"/>
    <xf numFmtId="0" fontId="22" fillId="0" borderId="0" xfId="0" applyFont="1" applyFill="1"/>
    <xf numFmtId="0" fontId="25" fillId="0" borderId="16" xfId="1" applyFont="1" applyFill="1" applyAlignment="1">
      <alignment horizontal="center"/>
    </xf>
    <xf numFmtId="0" fontId="27" fillId="0" borderId="16" xfId="1" applyFont="1" applyFill="1" applyAlignment="1">
      <alignment horizontal="center"/>
    </xf>
    <xf numFmtId="0" fontId="27" fillId="0" borderId="16" xfId="1" applyFont="1" applyFill="1" applyAlignment="1">
      <alignment horizontal="left"/>
    </xf>
    <xf numFmtId="0" fontId="27" fillId="0" borderId="16" xfId="1" applyFont="1" applyFill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25" fillId="0" borderId="30" xfId="1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28" fillId="0" borderId="30" xfId="1" applyFont="1" applyFill="1" applyBorder="1" applyAlignment="1">
      <alignment horizontal="center" vertical="center"/>
    </xf>
    <xf numFmtId="0" fontId="29" fillId="0" borderId="30" xfId="1" applyFont="1" applyFill="1" applyBorder="1" applyAlignment="1">
      <alignment horizontal="center" vertical="center"/>
    </xf>
    <xf numFmtId="0" fontId="31" fillId="0" borderId="30" xfId="1" applyFont="1" applyFill="1" applyBorder="1" applyAlignment="1">
      <alignment horizontal="left" vertical="center" wrapText="1"/>
    </xf>
    <xf numFmtId="0" fontId="32" fillId="0" borderId="30" xfId="1" applyFont="1" applyFill="1" applyBorder="1" applyAlignment="1">
      <alignment horizontal="center" vertical="center"/>
    </xf>
    <xf numFmtId="0" fontId="31" fillId="0" borderId="30" xfId="1" applyFont="1" applyFill="1" applyBorder="1" applyAlignment="1">
      <alignment horizontal="left" vertical="center"/>
    </xf>
    <xf numFmtId="0" fontId="30" fillId="0" borderId="30" xfId="1" applyFont="1" applyFill="1" applyBorder="1" applyAlignment="1">
      <alignment horizontal="left" vertical="center" wrapText="1"/>
    </xf>
    <xf numFmtId="0" fontId="35" fillId="0" borderId="0" xfId="0" applyFont="1" applyFill="1"/>
    <xf numFmtId="0" fontId="0" fillId="0" borderId="0" xfId="0"/>
    <xf numFmtId="0" fontId="34" fillId="0" borderId="0" xfId="0" applyFont="1" applyFill="1" applyAlignment="1"/>
    <xf numFmtId="0" fontId="36" fillId="0" borderId="0" xfId="0" applyFont="1" applyFill="1"/>
    <xf numFmtId="0" fontId="7" fillId="0" borderId="26" xfId="0" applyFont="1" applyBorder="1" applyAlignment="1">
      <alignment horizontal="left" vertical="center" wrapText="1"/>
    </xf>
    <xf numFmtId="0" fontId="31" fillId="0" borderId="34" xfId="1" applyFont="1" applyFill="1" applyBorder="1" applyAlignment="1">
      <alignment horizontal="left" vertical="center" wrapText="1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5" fillId="0" borderId="30" xfId="0" applyFont="1" applyBorder="1" applyAlignment="1">
      <alignment horizontal="left" vertical="center" wrapText="1"/>
    </xf>
    <xf numFmtId="0" fontId="31" fillId="0" borderId="3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3" fillId="0" borderId="26" xfId="0" applyFont="1" applyBorder="1" applyAlignment="1">
      <alignment horizontal="center" vertical="center"/>
    </xf>
    <xf numFmtId="0" fontId="31" fillId="0" borderId="0" xfId="0" applyFont="1" applyAlignment="1"/>
    <xf numFmtId="0" fontId="7" fillId="0" borderId="18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 wrapText="1"/>
    </xf>
    <xf numFmtId="0" fontId="31" fillId="3" borderId="30" xfId="0" applyFont="1" applyFill="1" applyBorder="1" applyAlignment="1">
      <alignment horizontal="center" vertical="center" wrapText="1"/>
    </xf>
    <xf numFmtId="0" fontId="37" fillId="0" borderId="1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center" vertical="center" wrapText="1"/>
    </xf>
    <xf numFmtId="0" fontId="38" fillId="0" borderId="30" xfId="0" applyFont="1" applyBorder="1" applyAlignment="1">
      <alignment horizontal="left" vertical="center" wrapText="1"/>
    </xf>
    <xf numFmtId="0" fontId="31" fillId="3" borderId="30" xfId="0" applyFont="1" applyFill="1" applyBorder="1" applyAlignment="1">
      <alignment horizontal="left" vertical="center" wrapText="1"/>
    </xf>
    <xf numFmtId="0" fontId="31" fillId="0" borderId="0" xfId="0" applyFont="1" applyAlignment="1">
      <alignment horizontal="left"/>
    </xf>
    <xf numFmtId="0" fontId="31" fillId="0" borderId="30" xfId="0" applyFont="1" applyBorder="1" applyAlignment="1">
      <alignment horizontal="left"/>
    </xf>
    <xf numFmtId="0" fontId="3" fillId="0" borderId="18" xfId="0" applyFont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4" fillId="0" borderId="16" xfId="0" applyFont="1" applyBorder="1"/>
    <xf numFmtId="0" fontId="3" fillId="0" borderId="21" xfId="0" applyFont="1" applyBorder="1" applyAlignment="1">
      <alignment horizontal="center" vertical="center" wrapText="1"/>
    </xf>
    <xf numFmtId="0" fontId="9" fillId="0" borderId="26" xfId="0" applyFont="1" applyBorder="1"/>
    <xf numFmtId="0" fontId="37" fillId="0" borderId="35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12" fillId="0" borderId="30" xfId="0" applyFont="1" applyBorder="1"/>
    <xf numFmtId="0" fontId="12" fillId="0" borderId="30" xfId="0" applyFont="1" applyBorder="1" applyAlignment="1">
      <alignment horizontal="center" vertical="center"/>
    </xf>
    <xf numFmtId="0" fontId="16" fillId="0" borderId="24" xfId="0" applyFont="1" applyBorder="1"/>
    <xf numFmtId="0" fontId="31" fillId="0" borderId="30" xfId="0" applyFont="1" applyBorder="1" applyAlignment="1"/>
    <xf numFmtId="0" fontId="31" fillId="0" borderId="30" xfId="0" applyFont="1" applyBorder="1" applyAlignment="1">
      <alignment wrapText="1"/>
    </xf>
    <xf numFmtId="0" fontId="31" fillId="0" borderId="30" xfId="0" applyFont="1" applyBorder="1" applyAlignment="1">
      <alignment horizontal="center"/>
    </xf>
    <xf numFmtId="0" fontId="31" fillId="0" borderId="30" xfId="0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7" fillId="0" borderId="35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0" fillId="0" borderId="30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14" xfId="0" applyFont="1" applyBorder="1"/>
    <xf numFmtId="0" fontId="10" fillId="0" borderId="13" xfId="0" applyFont="1" applyBorder="1" applyAlignment="1">
      <alignment horizontal="center" vertical="center"/>
    </xf>
    <xf numFmtId="0" fontId="4" fillId="0" borderId="13" xfId="0" applyFont="1" applyBorder="1"/>
    <xf numFmtId="0" fontId="3" fillId="0" borderId="30" xfId="0" applyFont="1" applyBorder="1" applyAlignment="1">
      <alignment horizontal="center" vertical="center"/>
    </xf>
    <xf numFmtId="0" fontId="4" fillId="0" borderId="30" xfId="0" applyFont="1" applyBorder="1"/>
    <xf numFmtId="0" fontId="3" fillId="0" borderId="2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3" fillId="0" borderId="6" xfId="0" applyFont="1" applyBorder="1" applyAlignment="1">
      <alignment horizontal="center" vertical="center" wrapText="1"/>
    </xf>
    <xf numFmtId="0" fontId="4" fillId="0" borderId="12" xfId="0" applyFont="1" applyBorder="1"/>
    <xf numFmtId="0" fontId="7" fillId="0" borderId="4" xfId="0" applyFont="1" applyBorder="1" applyAlignment="1">
      <alignment horizontal="center" vertical="center"/>
    </xf>
    <xf numFmtId="0" fontId="4" fillId="0" borderId="9" xfId="0" applyFont="1" applyBorder="1"/>
    <xf numFmtId="0" fontId="7" fillId="0" borderId="11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0" xfId="0" applyFont="1" applyBorder="1"/>
    <xf numFmtId="0" fontId="3" fillId="0" borderId="25" xfId="0" applyFont="1" applyBorder="1" applyAlignment="1">
      <alignment horizontal="center" vertical="center" wrapText="1"/>
    </xf>
    <xf numFmtId="0" fontId="4" fillId="0" borderId="24" xfId="0" applyFont="1" applyBorder="1"/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0" borderId="28" xfId="0" applyFont="1" applyBorder="1"/>
    <xf numFmtId="0" fontId="3" fillId="0" borderId="2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4" fillId="0" borderId="7" xfId="0" applyFont="1" applyBorder="1"/>
    <xf numFmtId="0" fontId="4" fillId="0" borderId="8" xfId="0" applyFont="1" applyBorder="1"/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30" xfId="0" applyFont="1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9" xfId="0" applyFont="1" applyBorder="1"/>
    <xf numFmtId="0" fontId="1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4" fillId="0" borderId="25" xfId="0" applyFont="1" applyBorder="1"/>
    <xf numFmtId="0" fontId="39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4" fillId="0" borderId="35" xfId="0" applyFont="1" applyBorder="1"/>
    <xf numFmtId="0" fontId="7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3" fillId="0" borderId="13" xfId="0" applyFont="1" applyBorder="1" applyAlignment="1">
      <alignment horizontal="center" vertical="center"/>
    </xf>
    <xf numFmtId="0" fontId="26" fillId="0" borderId="16" xfId="1" applyFont="1" applyFill="1" applyAlignment="1">
      <alignment horizontal="center"/>
    </xf>
    <xf numFmtId="0" fontId="17" fillId="0" borderId="0" xfId="0" applyFont="1" applyFill="1" applyAlignment="1">
      <alignment horizontal="center" wrapText="1"/>
    </xf>
    <xf numFmtId="0" fontId="17" fillId="0" borderId="0" xfId="0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0" fontId="25" fillId="0" borderId="16" xfId="1" applyFont="1" applyFill="1" applyAlignment="1">
      <alignment horizontal="center"/>
    </xf>
    <xf numFmtId="0" fontId="30" fillId="0" borderId="31" xfId="1" applyFont="1" applyFill="1" applyBorder="1" applyAlignment="1">
      <alignment horizontal="center" vertical="center"/>
    </xf>
    <xf numFmtId="0" fontId="30" fillId="0" borderId="33" xfId="1" applyFont="1" applyFill="1" applyBorder="1" applyAlignment="1">
      <alignment horizontal="center" vertical="center"/>
    </xf>
    <xf numFmtId="0" fontId="30" fillId="0" borderId="32" xfId="1" applyFont="1" applyFill="1" applyBorder="1" applyAlignment="1">
      <alignment horizontal="center" vertical="center"/>
    </xf>
    <xf numFmtId="0" fontId="30" fillId="0" borderId="31" xfId="1" applyFont="1" applyFill="1" applyBorder="1" applyAlignment="1">
      <alignment horizontal="center" vertical="center" wrapText="1"/>
    </xf>
    <xf numFmtId="0" fontId="30" fillId="0" borderId="33" xfId="1" applyFont="1" applyFill="1" applyBorder="1" applyAlignment="1">
      <alignment horizontal="center" vertical="center" wrapText="1"/>
    </xf>
    <xf numFmtId="0" fontId="30" fillId="0" borderId="32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horizontal="center" vertical="center"/>
    </xf>
    <xf numFmtId="0" fontId="25" fillId="0" borderId="33" xfId="1" applyFont="1" applyFill="1" applyBorder="1" applyAlignment="1">
      <alignment horizontal="center" vertical="center"/>
    </xf>
    <xf numFmtId="0" fontId="25" fillId="0" borderId="32" xfId="1" applyFont="1" applyFill="1" applyBorder="1" applyAlignment="1">
      <alignment horizontal="center" vertical="center"/>
    </xf>
    <xf numFmtId="0" fontId="33" fillId="0" borderId="30" xfId="1" applyFont="1" applyFill="1" applyBorder="1" applyAlignment="1">
      <alignment horizontal="center" vertical="center"/>
    </xf>
    <xf numFmtId="0" fontId="30" fillId="0" borderId="30" xfId="1" applyFont="1" applyFill="1" applyBorder="1" applyAlignment="1">
      <alignment horizontal="center" vertical="center" wrapText="1"/>
    </xf>
    <xf numFmtId="0" fontId="25" fillId="0" borderId="30" xfId="1" applyFont="1" applyFill="1" applyBorder="1" applyAlignment="1">
      <alignment horizontal="center" vertical="center"/>
    </xf>
    <xf numFmtId="0" fontId="34" fillId="0" borderId="30" xfId="0" applyFont="1" applyFill="1" applyBorder="1" applyAlignment="1">
      <alignment horizontal="center" vertical="center"/>
    </xf>
    <xf numFmtId="0" fontId="33" fillId="0" borderId="31" xfId="1" applyFont="1" applyFill="1" applyBorder="1" applyAlignment="1">
      <alignment horizontal="center" vertical="center"/>
    </xf>
    <xf numFmtId="0" fontId="33" fillId="0" borderId="33" xfId="1" applyFont="1" applyFill="1" applyBorder="1" applyAlignment="1">
      <alignment horizontal="center" vertical="center"/>
    </xf>
    <xf numFmtId="0" fontId="33" fillId="0" borderId="32" xfId="1" applyFont="1" applyFill="1" applyBorder="1" applyAlignment="1">
      <alignment horizontal="center" vertical="center"/>
    </xf>
    <xf numFmtId="0" fontId="19" fillId="0" borderId="31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2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371475</xdr:colOff>
      <xdr:row>0</xdr:row>
      <xdr:rowOff>152400</xdr:rowOff>
    </xdr:from>
    <xdr:ext cx="1343025" cy="7715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001000" y="152400"/>
          <a:ext cx="1343025" cy="7715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523875</xdr:colOff>
      <xdr:row>0</xdr:row>
      <xdr:rowOff>19050</xdr:rowOff>
    </xdr:from>
    <xdr:ext cx="1343025" cy="771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67450" y="19050"/>
          <a:ext cx="1343025" cy="7715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024"/>
  <sheetViews>
    <sheetView topLeftCell="A81" workbookViewId="0">
      <selection activeCell="U89" sqref="U89"/>
    </sheetView>
  </sheetViews>
  <sheetFormatPr defaultColWidth="14.42578125" defaultRowHeight="15" customHeight="1"/>
  <cols>
    <col min="1" max="1" width="4.5703125" customWidth="1"/>
    <col min="2" max="2" width="9.7109375" customWidth="1"/>
    <col min="3" max="3" width="25.85546875" customWidth="1"/>
    <col min="4" max="4" width="10.5703125" customWidth="1"/>
    <col min="5" max="5" width="13.7109375" customWidth="1"/>
    <col min="6" max="7" width="6.42578125" customWidth="1"/>
    <col min="8" max="8" width="10.42578125" customWidth="1"/>
    <col min="9" max="9" width="6.42578125" customWidth="1"/>
    <col min="10" max="10" width="7.42578125" customWidth="1"/>
    <col min="11" max="11" width="12.85546875" customWidth="1"/>
    <col min="12" max="12" width="10.85546875" customWidth="1"/>
    <col min="13" max="15" width="5.7109375" customWidth="1"/>
    <col min="16" max="27" width="8.7109375" customWidth="1"/>
  </cols>
  <sheetData>
    <row r="1" spans="1:27" ht="54" customHeight="1">
      <c r="A1" s="211" t="s">
        <v>0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8.75">
      <c r="A3" s="213" t="s">
        <v>1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8.75">
      <c r="A4" s="213" t="s">
        <v>2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>
      <c r="A5" s="214" t="s">
        <v>3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2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>
      <c r="A7" s="214" t="s">
        <v>4</v>
      </c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2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>
      <c r="A9" s="4"/>
      <c r="B9" s="4"/>
      <c r="C9" s="4"/>
      <c r="D9" s="2"/>
      <c r="E9" s="4"/>
      <c r="F9" s="206" t="s">
        <v>5</v>
      </c>
      <c r="G9" s="189"/>
      <c r="H9" s="189"/>
      <c r="I9" s="189"/>
      <c r="J9" s="189"/>
      <c r="K9" s="190"/>
      <c r="L9" s="5"/>
      <c r="M9" s="5"/>
      <c r="N9" s="5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>
      <c r="A10" s="201" t="s">
        <v>6</v>
      </c>
      <c r="B10" s="210" t="s">
        <v>7</v>
      </c>
      <c r="C10" s="210" t="s">
        <v>8</v>
      </c>
      <c r="D10" s="201" t="s">
        <v>9</v>
      </c>
      <c r="E10" s="201" t="s">
        <v>10</v>
      </c>
      <c r="F10" s="8" t="s">
        <v>11</v>
      </c>
      <c r="G10" s="9"/>
      <c r="H10" s="188" t="s">
        <v>12</v>
      </c>
      <c r="I10" s="189"/>
      <c r="J10" s="190"/>
      <c r="K10" s="10" t="s">
        <v>13</v>
      </c>
      <c r="L10" s="191" t="s">
        <v>14</v>
      </c>
      <c r="M10" s="207" t="s">
        <v>15</v>
      </c>
      <c r="N10" s="208"/>
      <c r="O10" s="20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78.75">
      <c r="A11" s="194"/>
      <c r="B11" s="194"/>
      <c r="C11" s="194"/>
      <c r="D11" s="194"/>
      <c r="E11" s="194"/>
      <c r="F11" s="11" t="s">
        <v>16</v>
      </c>
      <c r="G11" s="12" t="s">
        <v>17</v>
      </c>
      <c r="H11" s="12" t="s">
        <v>18</v>
      </c>
      <c r="I11" s="13" t="s">
        <v>19</v>
      </c>
      <c r="J11" s="6" t="s">
        <v>17</v>
      </c>
      <c r="K11" s="13" t="s">
        <v>16</v>
      </c>
      <c r="L11" s="192"/>
      <c r="M11" s="192"/>
      <c r="N11" s="185"/>
      <c r="O11" s="18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>
      <c r="A12" s="10"/>
      <c r="B12" s="14"/>
      <c r="C12" s="14"/>
      <c r="D12" s="10"/>
      <c r="E12" s="10"/>
      <c r="F12" s="10"/>
      <c r="G12" s="10"/>
      <c r="H12" s="10"/>
      <c r="I12" s="10"/>
      <c r="J12" s="10"/>
      <c r="K12" s="10"/>
      <c r="L12" s="15"/>
      <c r="M12" s="16" t="s">
        <v>20</v>
      </c>
      <c r="N12" s="16" t="s">
        <v>21</v>
      </c>
      <c r="O12" s="17" t="s">
        <v>22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>
      <c r="A13" s="18">
        <v>1</v>
      </c>
      <c r="B13" s="19">
        <v>2</v>
      </c>
      <c r="C13" s="19">
        <v>3</v>
      </c>
      <c r="D13" s="19">
        <v>4</v>
      </c>
      <c r="E13" s="20">
        <v>5</v>
      </c>
      <c r="F13" s="20">
        <v>6</v>
      </c>
      <c r="G13" s="20">
        <v>7</v>
      </c>
      <c r="H13" s="20">
        <v>8</v>
      </c>
      <c r="I13" s="20">
        <v>9</v>
      </c>
      <c r="J13" s="20">
        <v>10</v>
      </c>
      <c r="K13" s="20">
        <v>11</v>
      </c>
      <c r="L13" s="20">
        <v>12</v>
      </c>
      <c r="M13" s="20">
        <v>13</v>
      </c>
      <c r="N13" s="20">
        <v>14</v>
      </c>
      <c r="O13" s="20">
        <v>15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>
      <c r="A14" s="21"/>
      <c r="B14" s="22"/>
      <c r="C14" s="22"/>
      <c r="D14" s="21"/>
      <c r="E14" s="21"/>
      <c r="F14" s="21"/>
      <c r="G14" s="18" t="s">
        <v>23</v>
      </c>
      <c r="H14" s="18"/>
      <c r="I14" s="18"/>
      <c r="J14" s="18" t="s">
        <v>24</v>
      </c>
      <c r="K14" s="18"/>
      <c r="L14" s="18" t="s">
        <v>25</v>
      </c>
      <c r="M14" s="21"/>
      <c r="N14" s="21"/>
      <c r="O14" s="2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>
      <c r="A15" s="193">
        <v>1</v>
      </c>
      <c r="B15" s="204" t="s">
        <v>26</v>
      </c>
      <c r="C15" s="25" t="s">
        <v>27</v>
      </c>
      <c r="D15" s="26">
        <v>2</v>
      </c>
      <c r="E15" s="195">
        <v>120</v>
      </c>
      <c r="F15" s="26">
        <v>0</v>
      </c>
      <c r="G15" s="26">
        <v>0</v>
      </c>
      <c r="H15" s="26">
        <v>6</v>
      </c>
      <c r="I15" s="26">
        <v>4</v>
      </c>
      <c r="J15" s="26">
        <f t="shared" ref="J15:J17" si="0">H15*I15</f>
        <v>24</v>
      </c>
      <c r="K15" s="27">
        <v>0</v>
      </c>
      <c r="L15" s="28">
        <f t="shared" ref="L15:L67" si="1">K15+J15+G15</f>
        <v>24</v>
      </c>
      <c r="M15" s="22">
        <v>0</v>
      </c>
      <c r="N15" s="22">
        <v>2</v>
      </c>
      <c r="O15" s="22">
        <v>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31.5">
      <c r="A16" s="197"/>
      <c r="B16" s="197"/>
      <c r="C16" s="29" t="s">
        <v>28</v>
      </c>
      <c r="D16" s="26">
        <v>2</v>
      </c>
      <c r="E16" s="196"/>
      <c r="F16" s="26">
        <v>0</v>
      </c>
      <c r="G16" s="26">
        <v>0</v>
      </c>
      <c r="H16" s="26">
        <v>6</v>
      </c>
      <c r="I16" s="26">
        <v>2</v>
      </c>
      <c r="J16" s="26">
        <f t="shared" si="0"/>
        <v>12</v>
      </c>
      <c r="K16" s="22">
        <v>0</v>
      </c>
      <c r="L16" s="28">
        <f t="shared" si="1"/>
        <v>12</v>
      </c>
      <c r="M16" s="30">
        <v>0</v>
      </c>
      <c r="N16" s="30">
        <v>1</v>
      </c>
      <c r="O16" s="22">
        <v>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>
      <c r="A17" s="194"/>
      <c r="B17" s="194"/>
      <c r="C17" s="25" t="s">
        <v>29</v>
      </c>
      <c r="D17" s="31">
        <v>2</v>
      </c>
      <c r="E17" s="183"/>
      <c r="F17" s="31">
        <v>2</v>
      </c>
      <c r="G17" s="31">
        <f>D17*F17</f>
        <v>4</v>
      </c>
      <c r="H17" s="31">
        <v>6</v>
      </c>
      <c r="I17" s="31">
        <v>4</v>
      </c>
      <c r="J17" s="26">
        <f t="shared" si="0"/>
        <v>24</v>
      </c>
      <c r="K17" s="32">
        <v>0</v>
      </c>
      <c r="L17" s="28">
        <f t="shared" si="1"/>
        <v>28</v>
      </c>
      <c r="M17" s="30"/>
      <c r="N17" s="30"/>
      <c r="O17" s="2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>
      <c r="A18" s="205">
        <v>2</v>
      </c>
      <c r="B18" s="204" t="s">
        <v>30</v>
      </c>
      <c r="C18" s="25" t="s">
        <v>31</v>
      </c>
      <c r="D18" s="26">
        <v>2</v>
      </c>
      <c r="E18" s="195">
        <v>120</v>
      </c>
      <c r="F18" s="26">
        <v>3</v>
      </c>
      <c r="G18" s="26">
        <v>6</v>
      </c>
      <c r="H18" s="26">
        <v>0</v>
      </c>
      <c r="I18" s="26">
        <v>0</v>
      </c>
      <c r="J18" s="26">
        <f>+H18*I18</f>
        <v>0</v>
      </c>
      <c r="K18" s="22">
        <v>0</v>
      </c>
      <c r="L18" s="28">
        <f t="shared" si="1"/>
        <v>6</v>
      </c>
      <c r="M18" s="22">
        <v>4</v>
      </c>
      <c r="N18" s="22">
        <v>0</v>
      </c>
      <c r="O18" s="22">
        <v>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47.25">
      <c r="A19" s="197"/>
      <c r="B19" s="194"/>
      <c r="C19" s="33" t="s">
        <v>32</v>
      </c>
      <c r="D19" s="34">
        <v>2</v>
      </c>
      <c r="E19" s="183"/>
      <c r="F19" s="34">
        <v>0</v>
      </c>
      <c r="G19" s="34">
        <f>D19*F19</f>
        <v>0</v>
      </c>
      <c r="H19" s="34">
        <v>6</v>
      </c>
      <c r="I19" s="34">
        <v>4</v>
      </c>
      <c r="J19" s="34">
        <f t="shared" ref="J19:J32" si="2">H19*I19</f>
        <v>24</v>
      </c>
      <c r="K19" s="24">
        <v>0</v>
      </c>
      <c r="L19" s="28">
        <f t="shared" si="1"/>
        <v>24</v>
      </c>
      <c r="M19" s="24">
        <v>0</v>
      </c>
      <c r="N19" s="24">
        <v>12</v>
      </c>
      <c r="O19" s="24">
        <v>0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>
      <c r="A20" s="193">
        <v>3</v>
      </c>
      <c r="B20" s="201" t="s">
        <v>33</v>
      </c>
      <c r="C20" s="35" t="s">
        <v>34</v>
      </c>
      <c r="D20" s="22">
        <v>1</v>
      </c>
      <c r="E20" s="193">
        <v>68</v>
      </c>
      <c r="F20" s="22">
        <v>4</v>
      </c>
      <c r="G20" s="22">
        <v>4</v>
      </c>
      <c r="H20" s="22">
        <v>3</v>
      </c>
      <c r="I20" s="22">
        <v>0</v>
      </c>
      <c r="J20" s="22">
        <f t="shared" si="2"/>
        <v>0</v>
      </c>
      <c r="K20" s="22">
        <v>0</v>
      </c>
      <c r="L20" s="28">
        <f t="shared" si="1"/>
        <v>4</v>
      </c>
      <c r="M20" s="22">
        <v>4</v>
      </c>
      <c r="N20" s="22">
        <v>0</v>
      </c>
      <c r="O20" s="22">
        <v>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>
      <c r="A21" s="197"/>
      <c r="B21" s="197"/>
      <c r="C21" s="35" t="s">
        <v>35</v>
      </c>
      <c r="D21" s="22">
        <v>1</v>
      </c>
      <c r="E21" s="197"/>
      <c r="F21" s="22">
        <v>3</v>
      </c>
      <c r="G21" s="22">
        <v>3</v>
      </c>
      <c r="H21" s="22">
        <v>3</v>
      </c>
      <c r="I21" s="22">
        <v>2</v>
      </c>
      <c r="J21" s="22">
        <f t="shared" si="2"/>
        <v>6</v>
      </c>
      <c r="K21" s="22">
        <v>0</v>
      </c>
      <c r="L21" s="28">
        <f t="shared" si="1"/>
        <v>9</v>
      </c>
      <c r="M21" s="22">
        <v>3</v>
      </c>
      <c r="N21" s="22">
        <v>2</v>
      </c>
      <c r="O21" s="22">
        <v>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>
      <c r="A22" s="197"/>
      <c r="B22" s="197"/>
      <c r="C22" s="36" t="s">
        <v>36</v>
      </c>
      <c r="D22" s="32">
        <v>2</v>
      </c>
      <c r="E22" s="197"/>
      <c r="F22" s="22">
        <v>2</v>
      </c>
      <c r="G22" s="32">
        <v>4</v>
      </c>
      <c r="H22" s="22">
        <v>3</v>
      </c>
      <c r="I22" s="22">
        <v>0</v>
      </c>
      <c r="J22" s="22">
        <f t="shared" si="2"/>
        <v>0</v>
      </c>
      <c r="K22" s="22">
        <v>0</v>
      </c>
      <c r="L22" s="28">
        <f t="shared" si="1"/>
        <v>4</v>
      </c>
      <c r="M22" s="22">
        <v>2</v>
      </c>
      <c r="N22" s="22">
        <v>0</v>
      </c>
      <c r="O22" s="22">
        <v>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>
      <c r="A23" s="197"/>
      <c r="B23" s="197"/>
      <c r="C23" s="35" t="s">
        <v>37</v>
      </c>
      <c r="D23" s="22">
        <v>1</v>
      </c>
      <c r="E23" s="197"/>
      <c r="F23" s="22">
        <v>4</v>
      </c>
      <c r="G23" s="22">
        <v>4</v>
      </c>
      <c r="H23" s="22">
        <v>3</v>
      </c>
      <c r="I23" s="22">
        <v>2</v>
      </c>
      <c r="J23" s="22">
        <f t="shared" si="2"/>
        <v>6</v>
      </c>
      <c r="K23" s="22">
        <v>0</v>
      </c>
      <c r="L23" s="28">
        <f t="shared" si="1"/>
        <v>10</v>
      </c>
      <c r="M23" s="22">
        <v>4</v>
      </c>
      <c r="N23" s="22">
        <v>2</v>
      </c>
      <c r="O23" s="22">
        <v>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>
      <c r="A24" s="197"/>
      <c r="B24" s="197"/>
      <c r="C24" s="35" t="s">
        <v>38</v>
      </c>
      <c r="D24" s="22">
        <v>1</v>
      </c>
      <c r="E24" s="197"/>
      <c r="F24" s="22">
        <v>2</v>
      </c>
      <c r="G24" s="22">
        <v>2</v>
      </c>
      <c r="H24" s="22">
        <v>3</v>
      </c>
      <c r="I24" s="22">
        <v>2</v>
      </c>
      <c r="J24" s="22">
        <f t="shared" si="2"/>
        <v>6</v>
      </c>
      <c r="K24" s="22">
        <v>0</v>
      </c>
      <c r="L24" s="28">
        <f t="shared" si="1"/>
        <v>8</v>
      </c>
      <c r="M24" s="22">
        <v>2</v>
      </c>
      <c r="N24" s="22">
        <v>2</v>
      </c>
      <c r="O24" s="22">
        <v>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>
      <c r="A25" s="197"/>
      <c r="B25" s="197"/>
      <c r="C25" s="35" t="s">
        <v>39</v>
      </c>
      <c r="D25" s="22">
        <v>1</v>
      </c>
      <c r="E25" s="197"/>
      <c r="F25" s="22">
        <v>0</v>
      </c>
      <c r="G25" s="22">
        <v>0</v>
      </c>
      <c r="H25" s="22">
        <v>3</v>
      </c>
      <c r="I25" s="22">
        <v>2</v>
      </c>
      <c r="J25" s="22">
        <f t="shared" si="2"/>
        <v>6</v>
      </c>
      <c r="K25" s="22">
        <v>0</v>
      </c>
      <c r="L25" s="28">
        <f t="shared" si="1"/>
        <v>6</v>
      </c>
      <c r="M25" s="22">
        <v>0</v>
      </c>
      <c r="N25" s="22">
        <v>2</v>
      </c>
      <c r="O25" s="22">
        <v>0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>
      <c r="A26" s="194"/>
      <c r="B26" s="194"/>
      <c r="C26" s="36" t="s">
        <v>40</v>
      </c>
      <c r="D26" s="32">
        <v>2</v>
      </c>
      <c r="E26" s="194"/>
      <c r="F26" s="22">
        <v>0</v>
      </c>
      <c r="G26" s="22">
        <v>0</v>
      </c>
      <c r="H26" s="32">
        <v>6</v>
      </c>
      <c r="I26" s="22">
        <v>2</v>
      </c>
      <c r="J26" s="22">
        <f t="shared" si="2"/>
        <v>12</v>
      </c>
      <c r="K26" s="22">
        <v>0</v>
      </c>
      <c r="L26" s="28">
        <f t="shared" si="1"/>
        <v>12</v>
      </c>
      <c r="M26" s="22">
        <v>0</v>
      </c>
      <c r="N26" s="22">
        <v>2</v>
      </c>
      <c r="O26" s="22">
        <v>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>
      <c r="A27" s="193">
        <v>4</v>
      </c>
      <c r="B27" s="201" t="s">
        <v>41</v>
      </c>
      <c r="C27" s="35" t="s">
        <v>42</v>
      </c>
      <c r="D27" s="27">
        <v>1</v>
      </c>
      <c r="E27" s="193">
        <v>25</v>
      </c>
      <c r="F27" s="27">
        <v>4</v>
      </c>
      <c r="G27" s="27">
        <f t="shared" ref="G27:G45" si="3">D27*F27</f>
        <v>4</v>
      </c>
      <c r="H27" s="27">
        <v>1</v>
      </c>
      <c r="I27" s="27">
        <v>2</v>
      </c>
      <c r="J27" s="27">
        <f t="shared" si="2"/>
        <v>2</v>
      </c>
      <c r="K27" s="27">
        <v>0</v>
      </c>
      <c r="L27" s="28">
        <f t="shared" si="1"/>
        <v>6</v>
      </c>
      <c r="M27" s="27">
        <v>4</v>
      </c>
      <c r="N27" s="27">
        <v>1</v>
      </c>
      <c r="O27" s="27">
        <v>0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>
      <c r="A28" s="197"/>
      <c r="B28" s="197"/>
      <c r="C28" s="35" t="s">
        <v>43</v>
      </c>
      <c r="D28" s="22">
        <v>1</v>
      </c>
      <c r="E28" s="197"/>
      <c r="F28" s="22">
        <v>3</v>
      </c>
      <c r="G28" s="22">
        <f t="shared" si="3"/>
        <v>3</v>
      </c>
      <c r="H28" s="22">
        <v>1</v>
      </c>
      <c r="I28" s="22">
        <v>2</v>
      </c>
      <c r="J28" s="22">
        <f t="shared" si="2"/>
        <v>2</v>
      </c>
      <c r="K28" s="22">
        <v>0</v>
      </c>
      <c r="L28" s="28">
        <f t="shared" si="1"/>
        <v>5</v>
      </c>
      <c r="M28" s="30">
        <v>3</v>
      </c>
      <c r="N28" s="30">
        <v>1</v>
      </c>
      <c r="O28" s="22">
        <v>0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>
      <c r="A29" s="197"/>
      <c r="B29" s="197"/>
      <c r="C29" s="35" t="s">
        <v>44</v>
      </c>
      <c r="D29" s="22">
        <v>1</v>
      </c>
      <c r="E29" s="197"/>
      <c r="F29" s="22">
        <v>3</v>
      </c>
      <c r="G29" s="22">
        <f t="shared" si="3"/>
        <v>3</v>
      </c>
      <c r="H29" s="22">
        <v>1</v>
      </c>
      <c r="I29" s="22">
        <v>4</v>
      </c>
      <c r="J29" s="22">
        <f t="shared" si="2"/>
        <v>4</v>
      </c>
      <c r="K29" s="22">
        <v>0</v>
      </c>
      <c r="L29" s="28">
        <f t="shared" si="1"/>
        <v>7</v>
      </c>
      <c r="M29" s="22">
        <v>3</v>
      </c>
      <c r="N29" s="22">
        <v>2</v>
      </c>
      <c r="O29" s="22">
        <v>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>
      <c r="A30" s="197"/>
      <c r="B30" s="197"/>
      <c r="C30" s="35" t="s">
        <v>45</v>
      </c>
      <c r="D30" s="22">
        <v>1</v>
      </c>
      <c r="E30" s="197"/>
      <c r="F30" s="22">
        <v>3</v>
      </c>
      <c r="G30" s="22">
        <f t="shared" si="3"/>
        <v>3</v>
      </c>
      <c r="H30" s="22">
        <v>1</v>
      </c>
      <c r="I30" s="22">
        <v>2</v>
      </c>
      <c r="J30" s="22">
        <f t="shared" si="2"/>
        <v>2</v>
      </c>
      <c r="K30" s="22">
        <v>0</v>
      </c>
      <c r="L30" s="28">
        <f t="shared" si="1"/>
        <v>5</v>
      </c>
      <c r="M30" s="30">
        <v>3</v>
      </c>
      <c r="N30" s="30">
        <v>1</v>
      </c>
      <c r="O30" s="22">
        <v>0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>
      <c r="A31" s="197"/>
      <c r="B31" s="197"/>
      <c r="C31" s="35" t="s">
        <v>46</v>
      </c>
      <c r="D31" s="22">
        <v>1</v>
      </c>
      <c r="E31" s="197"/>
      <c r="F31" s="22">
        <v>3</v>
      </c>
      <c r="G31" s="22">
        <f t="shared" si="3"/>
        <v>3</v>
      </c>
      <c r="H31" s="22">
        <v>1</v>
      </c>
      <c r="I31" s="22">
        <v>2</v>
      </c>
      <c r="J31" s="22">
        <f t="shared" si="2"/>
        <v>2</v>
      </c>
      <c r="K31" s="22">
        <v>0</v>
      </c>
      <c r="L31" s="28">
        <f t="shared" si="1"/>
        <v>5</v>
      </c>
      <c r="M31" s="22">
        <v>3</v>
      </c>
      <c r="N31" s="22">
        <v>1</v>
      </c>
      <c r="O31" s="22">
        <v>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>
      <c r="A32" s="194"/>
      <c r="B32" s="194"/>
      <c r="C32" s="35" t="s">
        <v>47</v>
      </c>
      <c r="D32" s="22">
        <v>1</v>
      </c>
      <c r="E32" s="194"/>
      <c r="F32" s="22">
        <v>2</v>
      </c>
      <c r="G32" s="22">
        <f t="shared" si="3"/>
        <v>2</v>
      </c>
      <c r="H32" s="22">
        <v>1</v>
      </c>
      <c r="I32" s="22">
        <v>0</v>
      </c>
      <c r="J32" s="22">
        <f t="shared" si="2"/>
        <v>0</v>
      </c>
      <c r="K32" s="22">
        <v>0</v>
      </c>
      <c r="L32" s="28">
        <f t="shared" si="1"/>
        <v>2</v>
      </c>
      <c r="M32" s="22">
        <v>2</v>
      </c>
      <c r="N32" s="22">
        <v>0</v>
      </c>
      <c r="O32" s="22">
        <v>0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>
      <c r="A33" s="193">
        <v>5</v>
      </c>
      <c r="B33" s="201" t="s">
        <v>48</v>
      </c>
      <c r="C33" s="35" t="s">
        <v>49</v>
      </c>
      <c r="D33" s="22">
        <v>1</v>
      </c>
      <c r="E33" s="193">
        <v>21</v>
      </c>
      <c r="F33" s="22">
        <v>2</v>
      </c>
      <c r="G33" s="22">
        <f t="shared" si="3"/>
        <v>2</v>
      </c>
      <c r="H33" s="22">
        <v>1</v>
      </c>
      <c r="I33" s="22">
        <v>0</v>
      </c>
      <c r="J33" s="22">
        <v>0</v>
      </c>
      <c r="K33" s="22">
        <v>0</v>
      </c>
      <c r="L33" s="28">
        <f t="shared" si="1"/>
        <v>2</v>
      </c>
      <c r="M33" s="22">
        <v>2</v>
      </c>
      <c r="N33" s="22">
        <v>0</v>
      </c>
      <c r="O33" s="22">
        <v>0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>
      <c r="A34" s="197"/>
      <c r="B34" s="197"/>
      <c r="C34" s="35" t="s">
        <v>50</v>
      </c>
      <c r="D34" s="22">
        <v>1</v>
      </c>
      <c r="E34" s="197"/>
      <c r="F34" s="22">
        <v>2</v>
      </c>
      <c r="G34" s="22">
        <f t="shared" si="3"/>
        <v>2</v>
      </c>
      <c r="H34" s="22">
        <v>1</v>
      </c>
      <c r="I34" s="22">
        <v>2</v>
      </c>
      <c r="J34" s="22">
        <f t="shared" ref="J34:J38" si="4">H34*I34</f>
        <v>2</v>
      </c>
      <c r="K34" s="22">
        <v>0</v>
      </c>
      <c r="L34" s="28">
        <f t="shared" si="1"/>
        <v>4</v>
      </c>
      <c r="M34" s="30">
        <v>2</v>
      </c>
      <c r="N34" s="30">
        <v>1</v>
      </c>
      <c r="O34" s="22">
        <v>0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>
      <c r="A35" s="197"/>
      <c r="B35" s="197"/>
      <c r="C35" s="35" t="s">
        <v>51</v>
      </c>
      <c r="D35" s="22">
        <v>1</v>
      </c>
      <c r="E35" s="197"/>
      <c r="F35" s="22">
        <v>2</v>
      </c>
      <c r="G35" s="22">
        <f t="shared" si="3"/>
        <v>2</v>
      </c>
      <c r="H35" s="22">
        <v>1</v>
      </c>
      <c r="I35" s="22">
        <v>2</v>
      </c>
      <c r="J35" s="22">
        <f t="shared" si="4"/>
        <v>2</v>
      </c>
      <c r="K35" s="22">
        <v>0</v>
      </c>
      <c r="L35" s="28">
        <f t="shared" si="1"/>
        <v>4</v>
      </c>
      <c r="M35" s="30">
        <v>2</v>
      </c>
      <c r="N35" s="30">
        <v>1</v>
      </c>
      <c r="O35" s="22">
        <v>0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>
      <c r="A36" s="197"/>
      <c r="B36" s="197"/>
      <c r="C36" s="35" t="s">
        <v>52</v>
      </c>
      <c r="D36" s="22">
        <v>1</v>
      </c>
      <c r="E36" s="197"/>
      <c r="F36" s="22">
        <v>2</v>
      </c>
      <c r="G36" s="22">
        <f t="shared" si="3"/>
        <v>2</v>
      </c>
      <c r="H36" s="22">
        <v>1</v>
      </c>
      <c r="I36" s="22">
        <v>2</v>
      </c>
      <c r="J36" s="22">
        <f t="shared" si="4"/>
        <v>2</v>
      </c>
      <c r="K36" s="22">
        <v>0</v>
      </c>
      <c r="L36" s="28">
        <f t="shared" si="1"/>
        <v>4</v>
      </c>
      <c r="M36" s="30">
        <v>2</v>
      </c>
      <c r="N36" s="30">
        <v>1</v>
      </c>
      <c r="O36" s="22">
        <v>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>
      <c r="A37" s="197"/>
      <c r="B37" s="197"/>
      <c r="C37" s="35" t="s">
        <v>53</v>
      </c>
      <c r="D37" s="22">
        <v>1</v>
      </c>
      <c r="E37" s="197"/>
      <c r="F37" s="22">
        <v>0</v>
      </c>
      <c r="G37" s="22">
        <f t="shared" si="3"/>
        <v>0</v>
      </c>
      <c r="H37" s="22">
        <v>1</v>
      </c>
      <c r="I37" s="22">
        <v>4</v>
      </c>
      <c r="J37" s="22">
        <f t="shared" si="4"/>
        <v>4</v>
      </c>
      <c r="K37" s="22">
        <v>0</v>
      </c>
      <c r="L37" s="28">
        <f t="shared" si="1"/>
        <v>4</v>
      </c>
      <c r="M37" s="30">
        <v>0</v>
      </c>
      <c r="N37" s="30">
        <v>2</v>
      </c>
      <c r="O37" s="22">
        <v>0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>
      <c r="A38" s="197"/>
      <c r="B38" s="197"/>
      <c r="C38" s="35" t="s">
        <v>54</v>
      </c>
      <c r="D38" s="22">
        <v>1</v>
      </c>
      <c r="E38" s="197"/>
      <c r="F38" s="22">
        <v>2</v>
      </c>
      <c r="G38" s="22">
        <f t="shared" si="3"/>
        <v>2</v>
      </c>
      <c r="H38" s="22">
        <v>1</v>
      </c>
      <c r="I38" s="22">
        <v>0</v>
      </c>
      <c r="J38" s="22">
        <f t="shared" si="4"/>
        <v>0</v>
      </c>
      <c r="K38" s="22">
        <v>0</v>
      </c>
      <c r="L38" s="28">
        <f t="shared" si="1"/>
        <v>2</v>
      </c>
      <c r="M38" s="30">
        <v>2</v>
      </c>
      <c r="N38" s="30">
        <v>0</v>
      </c>
      <c r="O38" s="22">
        <v>0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>
      <c r="A39" s="197"/>
      <c r="B39" s="197"/>
      <c r="C39" s="35" t="s">
        <v>55</v>
      </c>
      <c r="D39" s="22">
        <v>1</v>
      </c>
      <c r="E39" s="197"/>
      <c r="F39" s="22">
        <v>2</v>
      </c>
      <c r="G39" s="22">
        <f t="shared" si="3"/>
        <v>2</v>
      </c>
      <c r="H39" s="22">
        <v>1</v>
      </c>
      <c r="I39" s="22">
        <v>0</v>
      </c>
      <c r="J39" s="22">
        <v>0</v>
      </c>
      <c r="K39" s="22">
        <v>0</v>
      </c>
      <c r="L39" s="28">
        <f t="shared" si="1"/>
        <v>2</v>
      </c>
      <c r="M39" s="30">
        <v>2</v>
      </c>
      <c r="N39" s="30">
        <v>0</v>
      </c>
      <c r="O39" s="22">
        <v>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>
      <c r="A40" s="197"/>
      <c r="B40" s="197"/>
      <c r="C40" s="35" t="s">
        <v>55</v>
      </c>
      <c r="D40" s="22">
        <v>1</v>
      </c>
      <c r="E40" s="197"/>
      <c r="F40" s="22">
        <v>2</v>
      </c>
      <c r="G40" s="22">
        <f t="shared" si="3"/>
        <v>2</v>
      </c>
      <c r="H40" s="22">
        <v>1</v>
      </c>
      <c r="I40" s="22">
        <v>0</v>
      </c>
      <c r="J40" s="22">
        <v>0</v>
      </c>
      <c r="K40" s="22">
        <v>0</v>
      </c>
      <c r="L40" s="28">
        <f t="shared" si="1"/>
        <v>2</v>
      </c>
      <c r="M40" s="30">
        <v>2</v>
      </c>
      <c r="N40" s="30">
        <v>0</v>
      </c>
      <c r="O40" s="22">
        <v>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>
      <c r="A41" s="194"/>
      <c r="B41" s="194"/>
      <c r="C41" s="35" t="s">
        <v>56</v>
      </c>
      <c r="D41" s="22">
        <v>1</v>
      </c>
      <c r="E41" s="194"/>
      <c r="F41" s="22">
        <v>2</v>
      </c>
      <c r="G41" s="22">
        <f t="shared" si="3"/>
        <v>2</v>
      </c>
      <c r="H41" s="22">
        <v>1</v>
      </c>
      <c r="I41" s="22">
        <v>0</v>
      </c>
      <c r="J41" s="22">
        <v>0</v>
      </c>
      <c r="K41" s="22">
        <v>0</v>
      </c>
      <c r="L41" s="28">
        <f t="shared" si="1"/>
        <v>2</v>
      </c>
      <c r="M41" s="30">
        <v>2</v>
      </c>
      <c r="N41" s="30">
        <v>0</v>
      </c>
      <c r="O41" s="22">
        <v>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31.5" customHeight="1">
      <c r="A42" s="182">
        <v>6</v>
      </c>
      <c r="B42" s="201" t="s">
        <v>57</v>
      </c>
      <c r="C42" s="35" t="s">
        <v>58</v>
      </c>
      <c r="D42" s="22">
        <v>1</v>
      </c>
      <c r="E42" s="193">
        <v>17</v>
      </c>
      <c r="F42" s="22">
        <v>2</v>
      </c>
      <c r="G42" s="22">
        <f t="shared" si="3"/>
        <v>2</v>
      </c>
      <c r="H42" s="22">
        <v>1</v>
      </c>
      <c r="I42" s="22">
        <v>2</v>
      </c>
      <c r="J42" s="22">
        <v>2</v>
      </c>
      <c r="K42" s="37">
        <v>0</v>
      </c>
      <c r="L42" s="28">
        <f t="shared" si="1"/>
        <v>4</v>
      </c>
      <c r="M42" s="38">
        <v>2</v>
      </c>
      <c r="N42" s="30">
        <v>1</v>
      </c>
      <c r="O42" s="22">
        <v>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>
      <c r="A43" s="196"/>
      <c r="B43" s="197"/>
      <c r="C43" s="35" t="s">
        <v>59</v>
      </c>
      <c r="D43" s="22">
        <v>1</v>
      </c>
      <c r="E43" s="197"/>
      <c r="F43" s="22">
        <v>2</v>
      </c>
      <c r="G43" s="22">
        <f t="shared" si="3"/>
        <v>2</v>
      </c>
      <c r="H43" s="22">
        <v>1</v>
      </c>
      <c r="I43" s="22">
        <v>2</v>
      </c>
      <c r="J43" s="22">
        <v>2</v>
      </c>
      <c r="K43" s="37">
        <v>0</v>
      </c>
      <c r="L43" s="28">
        <f t="shared" si="1"/>
        <v>4</v>
      </c>
      <c r="M43" s="38">
        <v>2</v>
      </c>
      <c r="N43" s="30">
        <v>1</v>
      </c>
      <c r="O43" s="22">
        <v>0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>
      <c r="A44" s="196"/>
      <c r="B44" s="197"/>
      <c r="C44" s="29" t="s">
        <v>60</v>
      </c>
      <c r="D44" s="22">
        <v>1</v>
      </c>
      <c r="E44" s="197"/>
      <c r="F44" s="22">
        <v>2</v>
      </c>
      <c r="G44" s="22">
        <f t="shared" si="3"/>
        <v>2</v>
      </c>
      <c r="H44" s="22">
        <v>1</v>
      </c>
      <c r="I44" s="22">
        <v>2</v>
      </c>
      <c r="J44" s="22">
        <v>2</v>
      </c>
      <c r="K44" s="37">
        <v>0</v>
      </c>
      <c r="L44" s="28">
        <f t="shared" si="1"/>
        <v>4</v>
      </c>
      <c r="M44" s="38">
        <v>2</v>
      </c>
      <c r="N44" s="30">
        <v>1</v>
      </c>
      <c r="O44" s="22">
        <v>0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31.5">
      <c r="A45" s="196"/>
      <c r="B45" s="197"/>
      <c r="C45" s="29" t="s">
        <v>61</v>
      </c>
      <c r="D45" s="22">
        <v>1</v>
      </c>
      <c r="E45" s="197"/>
      <c r="F45" s="22">
        <v>2</v>
      </c>
      <c r="G45" s="22">
        <f t="shared" si="3"/>
        <v>2</v>
      </c>
      <c r="H45" s="22">
        <v>1</v>
      </c>
      <c r="I45" s="22">
        <v>2</v>
      </c>
      <c r="J45" s="22">
        <v>2</v>
      </c>
      <c r="K45" s="37">
        <v>0</v>
      </c>
      <c r="L45" s="28">
        <f t="shared" si="1"/>
        <v>4</v>
      </c>
      <c r="M45" s="38">
        <v>2</v>
      </c>
      <c r="N45" s="30">
        <v>1</v>
      </c>
      <c r="O45" s="22">
        <v>0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>
      <c r="A46" s="196"/>
      <c r="B46" s="197"/>
      <c r="C46" s="29" t="s">
        <v>62</v>
      </c>
      <c r="D46" s="28">
        <v>1</v>
      </c>
      <c r="E46" s="197"/>
      <c r="F46" s="28">
        <v>3</v>
      </c>
      <c r="G46" s="28">
        <v>3</v>
      </c>
      <c r="H46" s="28">
        <v>1</v>
      </c>
      <c r="I46" s="28">
        <v>2</v>
      </c>
      <c r="J46" s="28">
        <v>2</v>
      </c>
      <c r="K46" s="28">
        <v>0</v>
      </c>
      <c r="L46" s="28">
        <f t="shared" si="1"/>
        <v>5</v>
      </c>
      <c r="M46" s="182">
        <v>3</v>
      </c>
      <c r="N46" s="193">
        <v>1</v>
      </c>
      <c r="O46" s="193">
        <v>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>
      <c r="A47" s="196"/>
      <c r="B47" s="197"/>
      <c r="C47" s="29" t="s">
        <v>63</v>
      </c>
      <c r="D47" s="28">
        <v>1</v>
      </c>
      <c r="E47" s="197"/>
      <c r="F47" s="28">
        <v>3</v>
      </c>
      <c r="G47" s="28">
        <v>3</v>
      </c>
      <c r="H47" s="28">
        <v>1</v>
      </c>
      <c r="I47" s="28">
        <v>2</v>
      </c>
      <c r="J47" s="28">
        <v>2</v>
      </c>
      <c r="K47" s="28">
        <v>0</v>
      </c>
      <c r="L47" s="28">
        <f t="shared" si="1"/>
        <v>5</v>
      </c>
      <c r="M47" s="183"/>
      <c r="N47" s="194"/>
      <c r="O47" s="19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>
      <c r="A48" s="196"/>
      <c r="B48" s="197"/>
      <c r="C48" s="35" t="s">
        <v>55</v>
      </c>
      <c r="D48" s="22">
        <v>1</v>
      </c>
      <c r="E48" s="197"/>
      <c r="F48" s="22">
        <v>2</v>
      </c>
      <c r="G48" s="22">
        <f t="shared" ref="G48:G52" si="5">D48*F48</f>
        <v>2</v>
      </c>
      <c r="H48" s="22">
        <v>1</v>
      </c>
      <c r="I48" s="22">
        <v>0</v>
      </c>
      <c r="J48" s="22">
        <v>0</v>
      </c>
      <c r="K48" s="37">
        <v>0</v>
      </c>
      <c r="L48" s="28">
        <f t="shared" si="1"/>
        <v>2</v>
      </c>
      <c r="M48" s="38">
        <v>2</v>
      </c>
      <c r="N48" s="30">
        <v>0</v>
      </c>
      <c r="O48" s="22">
        <v>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>
      <c r="A49" s="183"/>
      <c r="B49" s="194"/>
      <c r="C49" s="35" t="s">
        <v>56</v>
      </c>
      <c r="D49" s="22">
        <v>1</v>
      </c>
      <c r="E49" s="194"/>
      <c r="F49" s="22">
        <v>4</v>
      </c>
      <c r="G49" s="22">
        <f t="shared" si="5"/>
        <v>4</v>
      </c>
      <c r="H49" s="22">
        <v>1</v>
      </c>
      <c r="I49" s="22">
        <v>0</v>
      </c>
      <c r="J49" s="22">
        <v>0</v>
      </c>
      <c r="K49" s="37">
        <v>0</v>
      </c>
      <c r="L49" s="28">
        <f t="shared" si="1"/>
        <v>4</v>
      </c>
      <c r="M49" s="38">
        <v>4</v>
      </c>
      <c r="N49" s="30">
        <v>0</v>
      </c>
      <c r="O49" s="22">
        <v>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31.5" customHeight="1">
      <c r="A50" s="182">
        <v>7</v>
      </c>
      <c r="B50" s="201" t="s">
        <v>64</v>
      </c>
      <c r="C50" s="35" t="s">
        <v>50</v>
      </c>
      <c r="D50" s="22">
        <v>1</v>
      </c>
      <c r="E50" s="193">
        <v>8</v>
      </c>
      <c r="F50" s="22">
        <v>2</v>
      </c>
      <c r="G50" s="22">
        <f t="shared" si="5"/>
        <v>2</v>
      </c>
      <c r="H50" s="22">
        <v>1</v>
      </c>
      <c r="I50" s="22">
        <v>2</v>
      </c>
      <c r="J50" s="22">
        <f t="shared" ref="J50:J52" si="6">H50*I50</f>
        <v>2</v>
      </c>
      <c r="K50" s="22">
        <v>0</v>
      </c>
      <c r="L50" s="28">
        <f t="shared" si="1"/>
        <v>4</v>
      </c>
      <c r="M50" s="30">
        <v>2</v>
      </c>
      <c r="N50" s="30">
        <v>1</v>
      </c>
      <c r="O50" s="22">
        <v>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>
      <c r="A51" s="196"/>
      <c r="B51" s="197"/>
      <c r="C51" s="35" t="s">
        <v>51</v>
      </c>
      <c r="D51" s="22">
        <v>1</v>
      </c>
      <c r="E51" s="197"/>
      <c r="F51" s="22">
        <v>2</v>
      </c>
      <c r="G51" s="22">
        <f t="shared" si="5"/>
        <v>2</v>
      </c>
      <c r="H51" s="22">
        <v>1</v>
      </c>
      <c r="I51" s="22">
        <v>2</v>
      </c>
      <c r="J51" s="22">
        <f t="shared" si="6"/>
        <v>2</v>
      </c>
      <c r="K51" s="22">
        <v>0</v>
      </c>
      <c r="L51" s="28">
        <f t="shared" si="1"/>
        <v>4</v>
      </c>
      <c r="M51" s="30">
        <v>2</v>
      </c>
      <c r="N51" s="30">
        <v>1</v>
      </c>
      <c r="O51" s="22">
        <v>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>
      <c r="A52" s="196"/>
      <c r="B52" s="197"/>
      <c r="C52" s="35" t="s">
        <v>52</v>
      </c>
      <c r="D52" s="22">
        <v>1</v>
      </c>
      <c r="E52" s="197"/>
      <c r="F52" s="22">
        <v>2</v>
      </c>
      <c r="G52" s="22">
        <f t="shared" si="5"/>
        <v>2</v>
      </c>
      <c r="H52" s="22">
        <v>1</v>
      </c>
      <c r="I52" s="22">
        <v>2</v>
      </c>
      <c r="J52" s="22">
        <f t="shared" si="6"/>
        <v>2</v>
      </c>
      <c r="K52" s="22">
        <v>0</v>
      </c>
      <c r="L52" s="28">
        <f t="shared" si="1"/>
        <v>4</v>
      </c>
      <c r="M52" s="30">
        <v>2</v>
      </c>
      <c r="N52" s="30">
        <v>1</v>
      </c>
      <c r="O52" s="22">
        <v>0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>
      <c r="A53" s="196"/>
      <c r="B53" s="197"/>
      <c r="C53" s="35" t="s">
        <v>65</v>
      </c>
      <c r="D53" s="22">
        <v>1</v>
      </c>
      <c r="E53" s="197"/>
      <c r="F53" s="22">
        <v>0</v>
      </c>
      <c r="G53" s="22">
        <v>0</v>
      </c>
      <c r="H53" s="22">
        <v>1</v>
      </c>
      <c r="I53" s="22">
        <v>2</v>
      </c>
      <c r="J53" s="22">
        <v>2</v>
      </c>
      <c r="K53" s="22">
        <v>0</v>
      </c>
      <c r="L53" s="28">
        <f t="shared" si="1"/>
        <v>2</v>
      </c>
      <c r="M53" s="22">
        <v>0</v>
      </c>
      <c r="N53" s="22">
        <v>1</v>
      </c>
      <c r="O53" s="22">
        <v>0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>
      <c r="A54" s="196"/>
      <c r="B54" s="197"/>
      <c r="C54" s="35" t="s">
        <v>56</v>
      </c>
      <c r="D54" s="22">
        <v>1</v>
      </c>
      <c r="E54" s="197"/>
      <c r="F54" s="22">
        <v>2</v>
      </c>
      <c r="G54" s="22">
        <v>2</v>
      </c>
      <c r="H54" s="22">
        <v>1</v>
      </c>
      <c r="I54" s="22">
        <v>0</v>
      </c>
      <c r="J54" s="22">
        <v>0</v>
      </c>
      <c r="K54" s="22">
        <v>0</v>
      </c>
      <c r="L54" s="28">
        <f t="shared" si="1"/>
        <v>2</v>
      </c>
      <c r="M54" s="30">
        <v>0</v>
      </c>
      <c r="N54" s="30">
        <v>1</v>
      </c>
      <c r="O54" s="22">
        <v>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>
      <c r="A55" s="196"/>
      <c r="B55" s="197"/>
      <c r="C55" s="35" t="s">
        <v>55</v>
      </c>
      <c r="D55" s="22">
        <v>1</v>
      </c>
      <c r="E55" s="197"/>
      <c r="F55" s="22">
        <v>2</v>
      </c>
      <c r="G55" s="22">
        <v>2</v>
      </c>
      <c r="H55" s="22">
        <v>1</v>
      </c>
      <c r="I55" s="22">
        <v>0</v>
      </c>
      <c r="J55" s="22">
        <v>0</v>
      </c>
      <c r="K55" s="22">
        <v>0</v>
      </c>
      <c r="L55" s="28">
        <f t="shared" si="1"/>
        <v>2</v>
      </c>
      <c r="M55" s="30">
        <v>0</v>
      </c>
      <c r="N55" s="30">
        <v>1</v>
      </c>
      <c r="O55" s="22">
        <v>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.75" customHeight="1">
      <c r="A56" s="196"/>
      <c r="B56" s="197"/>
      <c r="C56" s="35" t="s">
        <v>55</v>
      </c>
      <c r="D56" s="22">
        <v>1</v>
      </c>
      <c r="E56" s="197"/>
      <c r="F56" s="22">
        <v>2</v>
      </c>
      <c r="G56" s="22">
        <v>2</v>
      </c>
      <c r="H56" s="22">
        <v>1</v>
      </c>
      <c r="I56" s="22">
        <v>0</v>
      </c>
      <c r="J56" s="22">
        <v>0</v>
      </c>
      <c r="K56" s="22">
        <v>0</v>
      </c>
      <c r="L56" s="28">
        <f t="shared" si="1"/>
        <v>2</v>
      </c>
      <c r="M56" s="30">
        <v>0</v>
      </c>
      <c r="N56" s="30">
        <v>1</v>
      </c>
      <c r="O56" s="22">
        <v>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.75" customHeight="1">
      <c r="A57" s="196"/>
      <c r="B57" s="197"/>
      <c r="C57" s="35" t="s">
        <v>54</v>
      </c>
      <c r="D57" s="22">
        <v>1</v>
      </c>
      <c r="E57" s="197"/>
      <c r="F57" s="22">
        <v>2</v>
      </c>
      <c r="G57" s="22">
        <f t="shared" ref="G57:G63" si="7">D57*F57</f>
        <v>2</v>
      </c>
      <c r="H57" s="22">
        <v>1</v>
      </c>
      <c r="I57" s="22">
        <v>0</v>
      </c>
      <c r="J57" s="22">
        <f>H57*I57</f>
        <v>0</v>
      </c>
      <c r="K57" s="22">
        <v>0</v>
      </c>
      <c r="L57" s="28">
        <f t="shared" si="1"/>
        <v>2</v>
      </c>
      <c r="M57" s="30">
        <v>2</v>
      </c>
      <c r="N57" s="30">
        <v>0</v>
      </c>
      <c r="O57" s="22">
        <v>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.75" customHeight="1">
      <c r="A58" s="196"/>
      <c r="B58" s="197"/>
      <c r="C58" s="35" t="s">
        <v>49</v>
      </c>
      <c r="D58" s="22">
        <v>1</v>
      </c>
      <c r="E58" s="197"/>
      <c r="F58" s="22">
        <v>2</v>
      </c>
      <c r="G58" s="22">
        <f t="shared" si="7"/>
        <v>2</v>
      </c>
      <c r="H58" s="22">
        <v>1</v>
      </c>
      <c r="I58" s="22">
        <v>0</v>
      </c>
      <c r="J58" s="22">
        <v>0</v>
      </c>
      <c r="K58" s="22">
        <v>0</v>
      </c>
      <c r="L58" s="28">
        <f t="shared" si="1"/>
        <v>2</v>
      </c>
      <c r="M58" s="22">
        <v>2</v>
      </c>
      <c r="N58" s="22">
        <v>0</v>
      </c>
      <c r="O58" s="22">
        <v>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.75" customHeight="1">
      <c r="A59" s="183"/>
      <c r="B59" s="194"/>
      <c r="C59" s="35" t="s">
        <v>53</v>
      </c>
      <c r="D59" s="22">
        <v>1</v>
      </c>
      <c r="E59" s="194"/>
      <c r="F59" s="22">
        <v>0</v>
      </c>
      <c r="G59" s="22">
        <f t="shared" si="7"/>
        <v>0</v>
      </c>
      <c r="H59" s="22">
        <v>1</v>
      </c>
      <c r="I59" s="22">
        <v>4</v>
      </c>
      <c r="J59" s="22">
        <f>H59*I59</f>
        <v>4</v>
      </c>
      <c r="K59" s="22">
        <v>0</v>
      </c>
      <c r="L59" s="28">
        <f t="shared" si="1"/>
        <v>4</v>
      </c>
      <c r="M59" s="30">
        <v>0</v>
      </c>
      <c r="N59" s="30">
        <v>2</v>
      </c>
      <c r="O59" s="22">
        <v>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.75" customHeight="1">
      <c r="A60" s="193">
        <v>8</v>
      </c>
      <c r="B60" s="201" t="s">
        <v>66</v>
      </c>
      <c r="C60" s="35" t="s">
        <v>58</v>
      </c>
      <c r="D60" s="39">
        <v>1</v>
      </c>
      <c r="E60" s="193">
        <v>4</v>
      </c>
      <c r="F60" s="22">
        <v>2</v>
      </c>
      <c r="G60" s="22">
        <f t="shared" si="7"/>
        <v>2</v>
      </c>
      <c r="H60" s="22">
        <v>1</v>
      </c>
      <c r="I60" s="22">
        <v>2</v>
      </c>
      <c r="J60" s="22">
        <v>2</v>
      </c>
      <c r="K60" s="22">
        <v>0</v>
      </c>
      <c r="L60" s="28">
        <f t="shared" si="1"/>
        <v>4</v>
      </c>
      <c r="M60" s="30">
        <v>2</v>
      </c>
      <c r="N60" s="30">
        <v>1</v>
      </c>
      <c r="O60" s="22">
        <v>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.75" customHeight="1">
      <c r="A61" s="197"/>
      <c r="B61" s="197"/>
      <c r="C61" s="35" t="s">
        <v>59</v>
      </c>
      <c r="D61" s="39">
        <v>1</v>
      </c>
      <c r="E61" s="197"/>
      <c r="F61" s="22">
        <v>2</v>
      </c>
      <c r="G61" s="22">
        <f t="shared" si="7"/>
        <v>2</v>
      </c>
      <c r="H61" s="22">
        <v>1</v>
      </c>
      <c r="I61" s="22">
        <v>2</v>
      </c>
      <c r="J61" s="37">
        <v>2</v>
      </c>
      <c r="K61" s="22">
        <v>0</v>
      </c>
      <c r="L61" s="28">
        <f t="shared" si="1"/>
        <v>4</v>
      </c>
      <c r="M61" s="30">
        <v>2</v>
      </c>
      <c r="N61" s="30">
        <v>1</v>
      </c>
      <c r="O61" s="22">
        <v>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.75" customHeight="1">
      <c r="A62" s="197"/>
      <c r="B62" s="197"/>
      <c r="C62" s="35" t="s">
        <v>67</v>
      </c>
      <c r="D62" s="26">
        <v>1</v>
      </c>
      <c r="E62" s="197"/>
      <c r="F62" s="26">
        <v>2</v>
      </c>
      <c r="G62" s="26">
        <f t="shared" si="7"/>
        <v>2</v>
      </c>
      <c r="H62" s="26">
        <v>1</v>
      </c>
      <c r="I62" s="26">
        <v>2</v>
      </c>
      <c r="J62" s="40">
        <v>2</v>
      </c>
      <c r="K62" s="22">
        <v>0</v>
      </c>
      <c r="L62" s="28">
        <f t="shared" si="1"/>
        <v>4</v>
      </c>
      <c r="M62" s="22">
        <v>2</v>
      </c>
      <c r="N62" s="22">
        <v>1</v>
      </c>
      <c r="O62" s="22">
        <v>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.75" customHeight="1">
      <c r="A63" s="197"/>
      <c r="B63" s="197"/>
      <c r="C63" s="29" t="s">
        <v>61</v>
      </c>
      <c r="D63" s="22">
        <v>1</v>
      </c>
      <c r="E63" s="197"/>
      <c r="F63" s="22">
        <v>2</v>
      </c>
      <c r="G63" s="22">
        <f t="shared" si="7"/>
        <v>2</v>
      </c>
      <c r="H63" s="22">
        <v>1</v>
      </c>
      <c r="I63" s="22">
        <v>2</v>
      </c>
      <c r="J63" s="37">
        <v>2</v>
      </c>
      <c r="K63" s="22">
        <v>0</v>
      </c>
      <c r="L63" s="28">
        <f t="shared" si="1"/>
        <v>4</v>
      </c>
      <c r="M63" s="22">
        <v>2</v>
      </c>
      <c r="N63" s="22">
        <v>1</v>
      </c>
      <c r="O63" s="22">
        <v>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.75" customHeight="1">
      <c r="A64" s="197"/>
      <c r="B64" s="197"/>
      <c r="C64" s="29" t="s">
        <v>68</v>
      </c>
      <c r="D64" s="28">
        <v>1</v>
      </c>
      <c r="E64" s="197"/>
      <c r="F64" s="28">
        <v>3</v>
      </c>
      <c r="G64" s="28">
        <v>3</v>
      </c>
      <c r="H64" s="28">
        <v>1</v>
      </c>
      <c r="I64" s="28">
        <v>2</v>
      </c>
      <c r="J64" s="28">
        <v>2</v>
      </c>
      <c r="K64" s="28">
        <v>0</v>
      </c>
      <c r="L64" s="28">
        <f t="shared" si="1"/>
        <v>5</v>
      </c>
      <c r="M64" s="182">
        <v>3</v>
      </c>
      <c r="N64" s="193">
        <v>1</v>
      </c>
      <c r="O64" s="193">
        <v>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.75" customHeight="1">
      <c r="A65" s="197"/>
      <c r="B65" s="197"/>
      <c r="C65" s="29" t="s">
        <v>69</v>
      </c>
      <c r="D65" s="28">
        <v>1</v>
      </c>
      <c r="E65" s="197"/>
      <c r="F65" s="28">
        <v>3</v>
      </c>
      <c r="G65" s="28">
        <v>3</v>
      </c>
      <c r="H65" s="28">
        <v>1</v>
      </c>
      <c r="I65" s="28">
        <v>2</v>
      </c>
      <c r="J65" s="28">
        <v>2</v>
      </c>
      <c r="K65" s="28">
        <v>0</v>
      </c>
      <c r="L65" s="28">
        <f t="shared" si="1"/>
        <v>5</v>
      </c>
      <c r="M65" s="183"/>
      <c r="N65" s="194"/>
      <c r="O65" s="194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.75" customHeight="1">
      <c r="A66" s="197"/>
      <c r="B66" s="197"/>
      <c r="C66" s="35" t="s">
        <v>56</v>
      </c>
      <c r="D66" s="22">
        <v>1</v>
      </c>
      <c r="E66" s="197"/>
      <c r="F66" s="22">
        <v>4</v>
      </c>
      <c r="G66" s="22">
        <f t="shared" ref="G66:G67" si="8">D66*F66</f>
        <v>4</v>
      </c>
      <c r="H66" s="22">
        <v>1</v>
      </c>
      <c r="I66" s="22">
        <v>0</v>
      </c>
      <c r="J66" s="37">
        <v>0</v>
      </c>
      <c r="K66" s="22">
        <v>0</v>
      </c>
      <c r="L66" s="28">
        <f t="shared" si="1"/>
        <v>4</v>
      </c>
      <c r="M66" s="38">
        <v>4</v>
      </c>
      <c r="N66" s="30">
        <v>0</v>
      </c>
      <c r="O66" s="22">
        <v>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.75" customHeight="1">
      <c r="A67" s="202"/>
      <c r="B67" s="202"/>
      <c r="C67" s="139" t="s">
        <v>55</v>
      </c>
      <c r="D67" s="131">
        <v>1</v>
      </c>
      <c r="E67" s="202"/>
      <c r="F67" s="131">
        <v>2</v>
      </c>
      <c r="G67" s="131">
        <f t="shared" si="8"/>
        <v>2</v>
      </c>
      <c r="H67" s="131">
        <v>1</v>
      </c>
      <c r="I67" s="131">
        <v>0</v>
      </c>
      <c r="J67" s="140">
        <v>0</v>
      </c>
      <c r="K67" s="131">
        <v>0</v>
      </c>
      <c r="L67" s="136">
        <f t="shared" si="1"/>
        <v>2</v>
      </c>
      <c r="M67" s="137">
        <v>2</v>
      </c>
      <c r="N67" s="138">
        <v>0</v>
      </c>
      <c r="O67" s="131">
        <v>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s="127" customFormat="1" ht="15.75" customHeight="1">
      <c r="A68" s="179">
        <v>9</v>
      </c>
      <c r="B68" s="177" t="s">
        <v>165</v>
      </c>
      <c r="C68" s="132" t="s">
        <v>171</v>
      </c>
      <c r="D68" s="133"/>
      <c r="E68" s="176">
        <v>30</v>
      </c>
      <c r="F68" s="132">
        <v>4</v>
      </c>
      <c r="G68" s="132">
        <v>4</v>
      </c>
      <c r="H68" s="133">
        <v>0</v>
      </c>
      <c r="I68" s="133">
        <v>0</v>
      </c>
      <c r="J68" s="133">
        <v>4</v>
      </c>
      <c r="K68" s="133">
        <v>0</v>
      </c>
      <c r="L68" s="134">
        <f>+J68+K68</f>
        <v>4</v>
      </c>
      <c r="M68" s="132">
        <v>4</v>
      </c>
      <c r="N68" s="133">
        <v>0</v>
      </c>
      <c r="O68" s="133">
        <f>+M68+N68</f>
        <v>4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s="127" customFormat="1" ht="30">
      <c r="A69" s="180"/>
      <c r="B69" s="178"/>
      <c r="C69" s="143" t="s">
        <v>170</v>
      </c>
      <c r="D69" s="133">
        <v>1</v>
      </c>
      <c r="E69" s="176"/>
      <c r="F69" s="132">
        <v>3</v>
      </c>
      <c r="G69" s="132">
        <v>3</v>
      </c>
      <c r="H69" s="133">
        <v>0</v>
      </c>
      <c r="I69" s="133">
        <v>0</v>
      </c>
      <c r="J69" s="133">
        <v>3</v>
      </c>
      <c r="K69" s="133">
        <v>0</v>
      </c>
      <c r="L69" s="134">
        <f t="shared" ref="L69:L74" si="9">+J69+K69</f>
        <v>3</v>
      </c>
      <c r="M69" s="132">
        <v>3</v>
      </c>
      <c r="N69" s="133">
        <v>0</v>
      </c>
      <c r="O69" s="133">
        <f t="shared" ref="O69:O74" si="10">+M69+N69</f>
        <v>3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s="127" customFormat="1" ht="30">
      <c r="A70" s="180"/>
      <c r="B70" s="178"/>
      <c r="C70" s="143" t="s">
        <v>166</v>
      </c>
      <c r="D70" s="133">
        <v>1</v>
      </c>
      <c r="E70" s="176"/>
      <c r="F70" s="132">
        <v>2</v>
      </c>
      <c r="G70" s="132">
        <v>2</v>
      </c>
      <c r="H70" s="133">
        <v>2</v>
      </c>
      <c r="I70" s="133">
        <v>2</v>
      </c>
      <c r="J70" s="133">
        <v>4</v>
      </c>
      <c r="K70" s="133">
        <v>0</v>
      </c>
      <c r="L70" s="134">
        <f>+G70+J70</f>
        <v>6</v>
      </c>
      <c r="M70" s="132">
        <v>2</v>
      </c>
      <c r="N70" s="133">
        <v>0</v>
      </c>
      <c r="O70" s="133">
        <f t="shared" si="10"/>
        <v>2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s="127" customFormat="1" ht="30">
      <c r="A71" s="180"/>
      <c r="B71" s="178"/>
      <c r="C71" s="144" t="s">
        <v>167</v>
      </c>
      <c r="D71" s="133">
        <v>1</v>
      </c>
      <c r="E71" s="176"/>
      <c r="F71" s="132">
        <v>3</v>
      </c>
      <c r="G71" s="132">
        <v>3</v>
      </c>
      <c r="H71" s="133">
        <v>0</v>
      </c>
      <c r="I71" s="133">
        <v>0</v>
      </c>
      <c r="J71" s="133">
        <v>3</v>
      </c>
      <c r="K71" s="133">
        <v>0</v>
      </c>
      <c r="L71" s="134">
        <f t="shared" si="9"/>
        <v>3</v>
      </c>
      <c r="M71" s="132">
        <v>3</v>
      </c>
      <c r="N71" s="133">
        <v>0</v>
      </c>
      <c r="O71" s="133">
        <f t="shared" si="10"/>
        <v>3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s="127" customFormat="1" ht="30">
      <c r="A72" s="180"/>
      <c r="B72" s="178"/>
      <c r="C72" s="144" t="s">
        <v>172</v>
      </c>
      <c r="D72" s="133">
        <v>1</v>
      </c>
      <c r="E72" s="176"/>
      <c r="F72" s="132">
        <v>4</v>
      </c>
      <c r="G72" s="132">
        <v>4</v>
      </c>
      <c r="H72" s="133">
        <v>0</v>
      </c>
      <c r="I72" s="133">
        <v>0</v>
      </c>
      <c r="J72" s="133">
        <v>4</v>
      </c>
      <c r="K72" s="133">
        <v>0</v>
      </c>
      <c r="L72" s="134">
        <f t="shared" si="9"/>
        <v>4</v>
      </c>
      <c r="M72" s="132">
        <v>4</v>
      </c>
      <c r="N72" s="133">
        <v>0</v>
      </c>
      <c r="O72" s="133">
        <f t="shared" si="10"/>
        <v>4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s="127" customFormat="1" ht="30">
      <c r="A73" s="180"/>
      <c r="B73" s="178"/>
      <c r="C73" s="144" t="s">
        <v>173</v>
      </c>
      <c r="D73" s="133">
        <v>1</v>
      </c>
      <c r="E73" s="176"/>
      <c r="F73" s="132">
        <v>0</v>
      </c>
      <c r="G73" s="133">
        <v>0</v>
      </c>
      <c r="H73" s="133">
        <v>2</v>
      </c>
      <c r="I73" s="133">
        <v>2</v>
      </c>
      <c r="J73" s="133">
        <v>4</v>
      </c>
      <c r="K73" s="133">
        <v>0</v>
      </c>
      <c r="L73" s="134">
        <f t="shared" si="9"/>
        <v>4</v>
      </c>
      <c r="M73" s="132">
        <v>0</v>
      </c>
      <c r="N73" s="133">
        <v>1</v>
      </c>
      <c r="O73" s="133">
        <f t="shared" si="10"/>
        <v>1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s="127" customFormat="1" ht="30">
      <c r="A74" s="181"/>
      <c r="B74" s="178"/>
      <c r="C74" s="144" t="s">
        <v>168</v>
      </c>
      <c r="D74" s="133">
        <v>1</v>
      </c>
      <c r="E74" s="176"/>
      <c r="F74" s="132">
        <v>0</v>
      </c>
      <c r="G74" s="133">
        <v>0</v>
      </c>
      <c r="H74" s="133">
        <v>2</v>
      </c>
      <c r="I74" s="133">
        <v>4</v>
      </c>
      <c r="J74" s="133">
        <v>8</v>
      </c>
      <c r="K74" s="133">
        <v>0</v>
      </c>
      <c r="L74" s="134">
        <f t="shared" si="9"/>
        <v>8</v>
      </c>
      <c r="M74" s="132">
        <v>0</v>
      </c>
      <c r="N74" s="133">
        <v>2</v>
      </c>
      <c r="O74" s="133">
        <f t="shared" si="10"/>
        <v>2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s="127" customFormat="1" ht="15.75">
      <c r="A75" s="176">
        <v>10</v>
      </c>
      <c r="B75" s="177" t="s">
        <v>181</v>
      </c>
      <c r="C75" s="132" t="s">
        <v>182</v>
      </c>
      <c r="D75" s="133">
        <v>1</v>
      </c>
      <c r="E75" s="176">
        <v>15</v>
      </c>
      <c r="F75" s="132">
        <v>3</v>
      </c>
      <c r="G75" s="132">
        <f>+F75</f>
        <v>3</v>
      </c>
      <c r="H75" s="133">
        <v>1</v>
      </c>
      <c r="I75" s="133">
        <v>2</v>
      </c>
      <c r="J75" s="133">
        <f t="shared" ref="J75:J83" si="11">+I75</f>
        <v>2</v>
      </c>
      <c r="K75" s="133">
        <v>1</v>
      </c>
      <c r="L75" s="134">
        <f>+K75+J75+G75</f>
        <v>6</v>
      </c>
      <c r="M75" s="132">
        <v>3</v>
      </c>
      <c r="N75" s="133">
        <v>1</v>
      </c>
      <c r="O75" s="133">
        <v>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s="127" customFormat="1" ht="15.75">
      <c r="A76" s="176"/>
      <c r="B76" s="178"/>
      <c r="C76" s="143" t="s">
        <v>183</v>
      </c>
      <c r="D76" s="133">
        <v>1</v>
      </c>
      <c r="E76" s="176"/>
      <c r="F76" s="132">
        <v>3</v>
      </c>
      <c r="G76" s="132">
        <f>+F76</f>
        <v>3</v>
      </c>
      <c r="H76" s="133">
        <v>1</v>
      </c>
      <c r="I76" s="133">
        <v>2</v>
      </c>
      <c r="J76" s="133">
        <f t="shared" si="11"/>
        <v>2</v>
      </c>
      <c r="K76" s="133">
        <v>1</v>
      </c>
      <c r="L76" s="134">
        <f t="shared" ref="L76:L83" si="12">+K76+J76+G76</f>
        <v>6</v>
      </c>
      <c r="M76" s="132">
        <v>3</v>
      </c>
      <c r="N76" s="133">
        <v>1</v>
      </c>
      <c r="O76" s="133">
        <v>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s="127" customFormat="1" ht="30">
      <c r="A77" s="176"/>
      <c r="B77" s="178"/>
      <c r="C77" s="143" t="s">
        <v>184</v>
      </c>
      <c r="D77" s="133">
        <v>1</v>
      </c>
      <c r="E77" s="176"/>
      <c r="F77" s="132">
        <v>3</v>
      </c>
      <c r="G77" s="132">
        <f>+F77</f>
        <v>3</v>
      </c>
      <c r="H77" s="133">
        <v>1</v>
      </c>
      <c r="I77" s="133">
        <v>2</v>
      </c>
      <c r="J77" s="133">
        <f t="shared" si="11"/>
        <v>2</v>
      </c>
      <c r="K77" s="133">
        <v>0</v>
      </c>
      <c r="L77" s="134">
        <f t="shared" si="12"/>
        <v>5</v>
      </c>
      <c r="M77" s="132">
        <v>3</v>
      </c>
      <c r="N77" s="133">
        <v>1</v>
      </c>
      <c r="O77" s="133">
        <v>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s="127" customFormat="1" ht="15.75">
      <c r="A78" s="176"/>
      <c r="B78" s="178"/>
      <c r="C78" s="144" t="s">
        <v>185</v>
      </c>
      <c r="D78" s="133">
        <v>1</v>
      </c>
      <c r="E78" s="176"/>
      <c r="F78" s="132">
        <v>0</v>
      </c>
      <c r="G78" s="132">
        <v>0</v>
      </c>
      <c r="H78" s="133">
        <v>1</v>
      </c>
      <c r="I78" s="133">
        <v>12</v>
      </c>
      <c r="J78" s="133">
        <f t="shared" si="11"/>
        <v>12</v>
      </c>
      <c r="K78" s="133">
        <v>0</v>
      </c>
      <c r="L78" s="134">
        <f t="shared" si="12"/>
        <v>12</v>
      </c>
      <c r="M78" s="132">
        <v>0</v>
      </c>
      <c r="N78" s="133">
        <v>6</v>
      </c>
      <c r="O78" s="133">
        <v>0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s="127" customFormat="1" ht="33" customHeight="1">
      <c r="A79" s="176">
        <v>11</v>
      </c>
      <c r="B79" s="177" t="s">
        <v>180</v>
      </c>
      <c r="C79" s="132" t="s">
        <v>199</v>
      </c>
      <c r="D79" s="133"/>
      <c r="E79" s="176">
        <v>15</v>
      </c>
      <c r="F79" s="132">
        <v>3</v>
      </c>
      <c r="G79" s="132">
        <f>+F79</f>
        <v>3</v>
      </c>
      <c r="H79" s="133">
        <v>1</v>
      </c>
      <c r="I79" s="133">
        <v>2</v>
      </c>
      <c r="J79" s="133">
        <f t="shared" si="11"/>
        <v>2</v>
      </c>
      <c r="K79" s="133">
        <v>1</v>
      </c>
      <c r="L79" s="134">
        <f t="shared" si="12"/>
        <v>6</v>
      </c>
      <c r="M79" s="132">
        <v>3</v>
      </c>
      <c r="N79" s="133">
        <v>1</v>
      </c>
      <c r="O79" s="133">
        <v>1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s="127" customFormat="1" ht="30">
      <c r="A80" s="176"/>
      <c r="B80" s="178"/>
      <c r="C80" s="143" t="s">
        <v>200</v>
      </c>
      <c r="D80" s="133">
        <v>1</v>
      </c>
      <c r="E80" s="176"/>
      <c r="F80" s="132">
        <v>3</v>
      </c>
      <c r="G80" s="132">
        <f t="shared" ref="G80:G83" si="13">+F80</f>
        <v>3</v>
      </c>
      <c r="H80" s="133">
        <v>1</v>
      </c>
      <c r="I80" s="133">
        <v>2</v>
      </c>
      <c r="J80" s="133">
        <f t="shared" si="11"/>
        <v>2</v>
      </c>
      <c r="K80" s="133">
        <v>1</v>
      </c>
      <c r="L80" s="134">
        <f t="shared" si="12"/>
        <v>6</v>
      </c>
      <c r="M80" s="132">
        <v>3</v>
      </c>
      <c r="N80" s="133">
        <v>1</v>
      </c>
      <c r="O80" s="133">
        <v>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s="127" customFormat="1" ht="15.75">
      <c r="A81" s="176"/>
      <c r="B81" s="178"/>
      <c r="C81" s="143" t="s">
        <v>190</v>
      </c>
      <c r="D81" s="133">
        <v>1</v>
      </c>
      <c r="E81" s="176"/>
      <c r="F81" s="132">
        <v>3</v>
      </c>
      <c r="G81" s="132">
        <f t="shared" si="13"/>
        <v>3</v>
      </c>
      <c r="H81" s="133">
        <v>1</v>
      </c>
      <c r="I81" s="133">
        <v>2</v>
      </c>
      <c r="J81" s="133">
        <f t="shared" si="11"/>
        <v>2</v>
      </c>
      <c r="K81" s="133">
        <v>0</v>
      </c>
      <c r="L81" s="134">
        <f t="shared" si="12"/>
        <v>5</v>
      </c>
      <c r="M81" s="132">
        <v>3</v>
      </c>
      <c r="N81" s="133">
        <v>1</v>
      </c>
      <c r="O81" s="133">
        <v>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s="127" customFormat="1" ht="30">
      <c r="A82" s="176"/>
      <c r="B82" s="178"/>
      <c r="C82" s="144" t="s">
        <v>191</v>
      </c>
      <c r="D82" s="133">
        <v>1</v>
      </c>
      <c r="E82" s="176"/>
      <c r="F82" s="132">
        <v>3</v>
      </c>
      <c r="G82" s="132">
        <f t="shared" si="13"/>
        <v>3</v>
      </c>
      <c r="H82" s="133">
        <v>1</v>
      </c>
      <c r="I82" s="133">
        <v>2</v>
      </c>
      <c r="J82" s="133">
        <f t="shared" si="11"/>
        <v>2</v>
      </c>
      <c r="K82" s="133">
        <v>0</v>
      </c>
      <c r="L82" s="134">
        <f t="shared" si="12"/>
        <v>5</v>
      </c>
      <c r="M82" s="132">
        <v>3</v>
      </c>
      <c r="N82" s="133">
        <v>1</v>
      </c>
      <c r="O82" s="133">
        <v>0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s="127" customFormat="1" ht="15.75">
      <c r="A83" s="176"/>
      <c r="B83" s="178"/>
      <c r="C83" s="144" t="s">
        <v>192</v>
      </c>
      <c r="D83" s="133">
        <v>1</v>
      </c>
      <c r="E83" s="176"/>
      <c r="F83" s="132">
        <v>3</v>
      </c>
      <c r="G83" s="132">
        <f t="shared" si="13"/>
        <v>3</v>
      </c>
      <c r="H83" s="133">
        <v>1</v>
      </c>
      <c r="I83" s="133">
        <v>2</v>
      </c>
      <c r="J83" s="133">
        <f t="shared" si="11"/>
        <v>2</v>
      </c>
      <c r="K83" s="133">
        <v>0</v>
      </c>
      <c r="L83" s="134">
        <f t="shared" si="12"/>
        <v>5</v>
      </c>
      <c r="M83" s="132">
        <v>3</v>
      </c>
      <c r="N83" s="133">
        <v>1</v>
      </c>
      <c r="O83" s="133">
        <v>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>
      <c r="A84" s="203"/>
      <c r="B84" s="199"/>
      <c r="C84" s="198" t="s">
        <v>70</v>
      </c>
      <c r="D84" s="199"/>
      <c r="E84" s="129"/>
      <c r="F84" s="141"/>
      <c r="G84" s="141">
        <f>SUM(G15:G67)</f>
        <v>117</v>
      </c>
      <c r="H84" s="141"/>
      <c r="I84" s="141"/>
      <c r="J84" s="142">
        <f>SUM(J15:J74)</f>
        <v>208</v>
      </c>
      <c r="K84" s="173"/>
      <c r="L84" s="134">
        <f>SUM(L15:L68)</f>
        <v>299</v>
      </c>
      <c r="M84" s="134">
        <f>SUM(M15:M67)</f>
        <v>97</v>
      </c>
      <c r="N84" s="134">
        <f>SUM(N15:N67)</f>
        <v>55</v>
      </c>
      <c r="O84" s="134">
        <f>SUM(O15:O83)</f>
        <v>23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24" customHeight="1">
      <c r="A85" s="200" t="s">
        <v>71</v>
      </c>
      <c r="B85" s="185"/>
      <c r="C85" s="185"/>
      <c r="D85" s="185"/>
      <c r="E85" s="185"/>
      <c r="F85" s="185"/>
      <c r="G85" s="41"/>
      <c r="H85" s="184"/>
      <c r="I85" s="185"/>
      <c r="J85" s="41"/>
      <c r="K85" s="133"/>
      <c r="L85" s="134">
        <v>285</v>
      </c>
      <c r="M85" s="186"/>
      <c r="N85" s="187"/>
      <c r="O85" s="187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>
      <c r="A86" s="42"/>
      <c r="B86" s="43" t="s">
        <v>72</v>
      </c>
      <c r="C86" s="44" t="s">
        <v>73</v>
      </c>
      <c r="D86" s="45"/>
      <c r="E86" s="45"/>
      <c r="F86" s="45"/>
      <c r="G86" s="45"/>
      <c r="H86" s="45"/>
      <c r="I86" s="46"/>
      <c r="J86" s="45"/>
      <c r="K86" s="155"/>
      <c r="L86" s="42"/>
      <c r="M86" s="42"/>
      <c r="N86" s="42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</row>
    <row r="87" spans="1:27" ht="15.75" customHeight="1">
      <c r="A87" s="42" t="s">
        <v>74</v>
      </c>
      <c r="B87" s="45"/>
      <c r="C87" s="44" t="s">
        <v>75</v>
      </c>
      <c r="D87" s="45"/>
      <c r="E87" s="45"/>
      <c r="F87" s="45"/>
      <c r="G87" s="45"/>
      <c r="H87" s="45"/>
      <c r="I87" s="46"/>
      <c r="J87" s="45"/>
      <c r="K87" s="155"/>
      <c r="L87" s="42"/>
      <c r="M87" s="42"/>
      <c r="N87" s="42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</row>
    <row r="88" spans="1:27" ht="15.75" customHeight="1">
      <c r="A88" s="42"/>
      <c r="B88" s="45"/>
      <c r="C88" s="45"/>
      <c r="D88" s="45"/>
      <c r="E88" s="45"/>
      <c r="F88" s="45"/>
      <c r="G88" s="45"/>
      <c r="H88" s="46"/>
      <c r="I88" s="45"/>
      <c r="J88" s="45"/>
      <c r="K88" s="45"/>
      <c r="L88" s="42"/>
      <c r="M88" s="42"/>
      <c r="N88" s="4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s="122" customFormat="1" ht="71.25">
      <c r="C89" s="124" t="s">
        <v>158</v>
      </c>
      <c r="D89" s="124" t="s">
        <v>159</v>
      </c>
      <c r="E89" s="124" t="s">
        <v>160</v>
      </c>
      <c r="F89" s="124" t="s">
        <v>161</v>
      </c>
      <c r="G89" s="124" t="s">
        <v>162</v>
      </c>
      <c r="H89" s="46"/>
      <c r="I89" s="45"/>
      <c r="J89" s="45"/>
      <c r="K89" s="45"/>
      <c r="L89" s="42"/>
      <c r="M89" s="42"/>
      <c r="N89" s="4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s="122" customFormat="1" ht="15.75">
      <c r="C90" s="125" t="s">
        <v>163</v>
      </c>
      <c r="D90" s="125">
        <v>6</v>
      </c>
      <c r="E90" s="125">
        <v>0</v>
      </c>
      <c r="F90" s="125">
        <v>0</v>
      </c>
      <c r="G90" s="125">
        <v>0</v>
      </c>
      <c r="H90" s="123"/>
      <c r="I90" s="123"/>
      <c r="J90" s="123"/>
      <c r="K90" s="123"/>
      <c r="L90" s="123"/>
      <c r="M90" s="123"/>
      <c r="N90" s="123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s="122" customFormat="1">
      <c r="C91" s="125" t="s">
        <v>164</v>
      </c>
      <c r="D91" s="125">
        <v>14</v>
      </c>
      <c r="E91" s="125">
        <v>0</v>
      </c>
      <c r="F91" s="125">
        <v>0</v>
      </c>
      <c r="G91" s="125">
        <v>0</v>
      </c>
      <c r="H91" s="48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s="122" customFormat="1">
      <c r="C92" s="125" t="s">
        <v>142</v>
      </c>
      <c r="D92" s="125">
        <v>20</v>
      </c>
      <c r="E92" s="125">
        <v>7</v>
      </c>
      <c r="F92" s="125">
        <v>174</v>
      </c>
      <c r="G92" s="125">
        <v>56</v>
      </c>
      <c r="H92" s="48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.75" customHeight="1">
      <c r="A93" s="4"/>
      <c r="B93" s="4"/>
      <c r="C93" s="172" t="s">
        <v>201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.75" customHeight="1">
      <c r="A94" s="48"/>
      <c r="B94" s="48"/>
      <c r="C94" s="172" t="s">
        <v>202</v>
      </c>
      <c r="D94" s="48"/>
      <c r="E94" s="48"/>
      <c r="F94" s="48"/>
      <c r="G94" s="48"/>
      <c r="H94" s="48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.75" customHeight="1">
      <c r="A95" s="48"/>
      <c r="B95" s="48"/>
      <c r="C95" s="172" t="s">
        <v>205</v>
      </c>
      <c r="D95" s="48"/>
      <c r="E95" s="48"/>
      <c r="F95" s="48"/>
      <c r="G95" s="48"/>
      <c r="H95" s="48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s="127" customFormat="1" ht="15.75" customHeight="1">
      <c r="A96" s="48"/>
      <c r="B96" s="48"/>
      <c r="C96" s="172"/>
      <c r="D96" s="48"/>
      <c r="E96" s="48"/>
      <c r="F96" s="48"/>
      <c r="G96" s="48"/>
      <c r="H96" s="48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s="127" customFormat="1" ht="15.75" customHeight="1">
      <c r="A97" s="48"/>
      <c r="B97" s="48"/>
      <c r="C97" s="172"/>
      <c r="D97" s="48"/>
      <c r="E97" s="48"/>
      <c r="F97" s="48"/>
      <c r="G97" s="48"/>
      <c r="H97" s="48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.75" customHeight="1">
      <c r="A98" s="49"/>
      <c r="B98" s="49"/>
      <c r="C98" s="50" t="s">
        <v>76</v>
      </c>
      <c r="D98" s="50"/>
      <c r="E98" s="5"/>
      <c r="F98" s="5"/>
      <c r="G98" s="5"/>
      <c r="H98" s="5"/>
      <c r="I98" s="51" t="s">
        <v>77</v>
      </c>
      <c r="J98" s="51"/>
      <c r="K98" s="51"/>
      <c r="L98" s="49"/>
      <c r="M98" s="50" t="s">
        <v>78</v>
      </c>
      <c r="N98" s="49"/>
      <c r="O98" s="2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</row>
    <row r="99" spans="1:27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49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spans="1:27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spans="1:27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spans="1:27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spans="1:27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spans="1:27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spans="1:2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spans="1:27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spans="1:27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spans="1:27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spans="1:27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spans="1:27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spans="1:27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spans="1:27" ht="15.75" customHeight="1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</sheetData>
  <mergeCells count="58">
    <mergeCell ref="A1:O1"/>
    <mergeCell ref="A3:O3"/>
    <mergeCell ref="A4:O4"/>
    <mergeCell ref="A5:O5"/>
    <mergeCell ref="A7:O7"/>
    <mergeCell ref="F9:K9"/>
    <mergeCell ref="A10:A11"/>
    <mergeCell ref="M10:O11"/>
    <mergeCell ref="B10:B11"/>
    <mergeCell ref="C10:C11"/>
    <mergeCell ref="D10:D11"/>
    <mergeCell ref="E10:E11"/>
    <mergeCell ref="A84:B84"/>
    <mergeCell ref="A15:A17"/>
    <mergeCell ref="B15:B17"/>
    <mergeCell ref="A18:A19"/>
    <mergeCell ref="B18:B19"/>
    <mergeCell ref="B20:B26"/>
    <mergeCell ref="A79:A83"/>
    <mergeCell ref="B79:B83"/>
    <mergeCell ref="C84:D84"/>
    <mergeCell ref="A85:F85"/>
    <mergeCell ref="A20:A26"/>
    <mergeCell ref="A27:A32"/>
    <mergeCell ref="B27:B32"/>
    <mergeCell ref="A33:A41"/>
    <mergeCell ref="B33:B41"/>
    <mergeCell ref="A42:A49"/>
    <mergeCell ref="B42:B49"/>
    <mergeCell ref="E42:E49"/>
    <mergeCell ref="E50:E59"/>
    <mergeCell ref="E60:E67"/>
    <mergeCell ref="A50:A59"/>
    <mergeCell ref="B50:B59"/>
    <mergeCell ref="A60:A67"/>
    <mergeCell ref="B60:B67"/>
    <mergeCell ref="E15:E17"/>
    <mergeCell ref="E18:E19"/>
    <mergeCell ref="E20:E26"/>
    <mergeCell ref="E27:E32"/>
    <mergeCell ref="E33:E41"/>
    <mergeCell ref="M64:M65"/>
    <mergeCell ref="H85:I85"/>
    <mergeCell ref="M85:O85"/>
    <mergeCell ref="H10:J10"/>
    <mergeCell ref="L10:L11"/>
    <mergeCell ref="M46:M47"/>
    <mergeCell ref="N46:N47"/>
    <mergeCell ref="O46:O47"/>
    <mergeCell ref="N64:N65"/>
    <mergeCell ref="O64:O65"/>
    <mergeCell ref="E79:E83"/>
    <mergeCell ref="E68:E74"/>
    <mergeCell ref="B68:B74"/>
    <mergeCell ref="A68:A74"/>
    <mergeCell ref="A75:A78"/>
    <mergeCell ref="B75:B78"/>
    <mergeCell ref="E75:E78"/>
  </mergeCells>
  <pageMargins left="0.70866141732283472" right="0.70866141732283472" top="0.74803149606299213" bottom="0.74803149606299213" header="0" footer="0"/>
  <pageSetup paperSize="9" scale="91" fitToHeight="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36"/>
  <sheetViews>
    <sheetView topLeftCell="A13" workbookViewId="0">
      <selection activeCell="F78" sqref="F78"/>
    </sheetView>
  </sheetViews>
  <sheetFormatPr defaultColWidth="14.42578125" defaultRowHeight="15" customHeight="1"/>
  <cols>
    <col min="1" max="1" width="4.5703125" customWidth="1"/>
    <col min="2" max="2" width="14.28515625" customWidth="1"/>
    <col min="3" max="3" width="41" customWidth="1"/>
    <col min="4" max="5" width="10.5703125" customWidth="1"/>
    <col min="6" max="6" width="6.42578125" customWidth="1"/>
    <col min="7" max="7" width="7.5703125" customWidth="1"/>
    <col min="8" max="8" width="10.42578125" customWidth="1"/>
    <col min="9" max="9" width="6.42578125" customWidth="1"/>
    <col min="10" max="10" width="7.42578125" customWidth="1"/>
    <col min="11" max="11" width="12" style="127" bestFit="1" customWidth="1"/>
    <col min="12" max="12" width="10" customWidth="1"/>
    <col min="13" max="13" width="5.140625" customWidth="1"/>
    <col min="14" max="14" width="6.28515625" customWidth="1"/>
    <col min="15" max="15" width="5" customWidth="1"/>
  </cols>
  <sheetData>
    <row r="1" spans="1:21" ht="41.25" customHeight="1">
      <c r="A1" s="232" t="s">
        <v>79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47"/>
      <c r="P1" s="47"/>
      <c r="Q1" s="47"/>
      <c r="R1" s="47"/>
      <c r="S1" s="47"/>
      <c r="T1" s="47"/>
      <c r="U1" s="47"/>
    </row>
    <row r="2" spans="1:21">
      <c r="A2" s="5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47"/>
      <c r="P2" s="47"/>
      <c r="Q2" s="47"/>
      <c r="R2" s="47"/>
      <c r="S2" s="47"/>
      <c r="T2" s="47"/>
      <c r="U2" s="47"/>
    </row>
    <row r="3" spans="1:21" ht="18.75">
      <c r="A3" s="213" t="s">
        <v>80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47"/>
      <c r="P3" s="47"/>
      <c r="Q3" s="47"/>
      <c r="R3" s="47"/>
      <c r="S3" s="47"/>
      <c r="T3" s="47"/>
      <c r="U3" s="47"/>
    </row>
    <row r="4" spans="1:21" ht="18.75">
      <c r="A4" s="213" t="s">
        <v>2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47"/>
      <c r="P4" s="47"/>
      <c r="Q4" s="47"/>
      <c r="R4" s="47"/>
      <c r="S4" s="47"/>
      <c r="T4" s="47"/>
      <c r="U4" s="47"/>
    </row>
    <row r="5" spans="1:21" ht="15.75">
      <c r="A5" s="214" t="s">
        <v>81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47"/>
      <c r="P5" s="47"/>
      <c r="Q5" s="47"/>
      <c r="R5" s="47"/>
      <c r="S5" s="47"/>
      <c r="T5" s="47"/>
      <c r="U5" s="47"/>
    </row>
    <row r="6" spans="1:21" ht="15.75">
      <c r="A6" s="214" t="s">
        <v>4</v>
      </c>
      <c r="B6" s="212"/>
      <c r="C6" s="212"/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47"/>
      <c r="P6" s="47"/>
      <c r="Q6" s="47"/>
      <c r="R6" s="47"/>
      <c r="S6" s="47"/>
      <c r="T6" s="47"/>
      <c r="U6" s="47"/>
    </row>
    <row r="7" spans="1:21" ht="15.75">
      <c r="A7" s="42"/>
      <c r="B7" s="4"/>
      <c r="C7" s="4"/>
      <c r="D7" s="4"/>
      <c r="E7" s="4"/>
      <c r="F7" s="4"/>
      <c r="G7" s="4"/>
      <c r="H7" s="4"/>
      <c r="I7" s="4"/>
      <c r="J7" s="4"/>
      <c r="K7" s="128"/>
      <c r="L7" s="4"/>
      <c r="M7" s="4"/>
      <c r="N7" s="4"/>
      <c r="O7" s="47"/>
      <c r="P7" s="47"/>
      <c r="Q7" s="47"/>
      <c r="R7" s="47"/>
      <c r="S7" s="47"/>
      <c r="T7" s="47"/>
      <c r="U7" s="47"/>
    </row>
    <row r="8" spans="1:21" ht="15.75">
      <c r="A8" s="42"/>
      <c r="B8" s="4"/>
      <c r="C8" s="4"/>
      <c r="D8" s="2"/>
      <c r="E8" s="2"/>
      <c r="F8" s="206" t="s">
        <v>5</v>
      </c>
      <c r="G8" s="189"/>
      <c r="H8" s="189"/>
      <c r="I8" s="189"/>
      <c r="J8" s="190"/>
      <c r="K8" s="156"/>
      <c r="L8" s="5"/>
      <c r="M8" s="5"/>
      <c r="N8" s="5"/>
      <c r="O8" s="47"/>
      <c r="P8" s="47"/>
      <c r="Q8" s="47"/>
      <c r="R8" s="47"/>
      <c r="S8" s="47"/>
      <c r="T8" s="47"/>
      <c r="U8" s="47"/>
    </row>
    <row r="9" spans="1:21" ht="15.75" customHeight="1">
      <c r="A9" s="201" t="s">
        <v>6</v>
      </c>
      <c r="B9" s="201" t="s">
        <v>82</v>
      </c>
      <c r="C9" s="210" t="s">
        <v>8</v>
      </c>
      <c r="D9" s="201" t="s">
        <v>9</v>
      </c>
      <c r="E9" s="201" t="s">
        <v>83</v>
      </c>
      <c r="F9" s="53" t="s">
        <v>11</v>
      </c>
      <c r="G9" s="54"/>
      <c r="H9" s="233" t="s">
        <v>12</v>
      </c>
      <c r="I9" s="185"/>
      <c r="J9" s="183"/>
      <c r="K9" s="10" t="s">
        <v>13</v>
      </c>
      <c r="L9" s="191" t="s">
        <v>14</v>
      </c>
      <c r="M9" s="215" t="s">
        <v>15</v>
      </c>
      <c r="N9" s="215"/>
      <c r="O9" s="215"/>
      <c r="P9" s="47"/>
      <c r="Q9" s="47"/>
      <c r="R9" s="47"/>
      <c r="S9" s="47"/>
      <c r="T9" s="47"/>
      <c r="U9" s="47"/>
    </row>
    <row r="10" spans="1:21" ht="63">
      <c r="A10" s="194"/>
      <c r="B10" s="194"/>
      <c r="C10" s="194"/>
      <c r="D10" s="194"/>
      <c r="E10" s="194"/>
      <c r="F10" s="11" t="s">
        <v>16</v>
      </c>
      <c r="G10" s="12" t="s">
        <v>17</v>
      </c>
      <c r="H10" s="12" t="s">
        <v>18</v>
      </c>
      <c r="I10" s="13" t="s">
        <v>19</v>
      </c>
      <c r="J10" s="6" t="s">
        <v>17</v>
      </c>
      <c r="K10" s="13" t="s">
        <v>16</v>
      </c>
      <c r="L10" s="192"/>
      <c r="M10" s="215"/>
      <c r="N10" s="215"/>
      <c r="O10" s="215"/>
      <c r="P10" s="47"/>
      <c r="Q10" s="47"/>
      <c r="R10" s="47"/>
      <c r="S10" s="47"/>
      <c r="T10" s="47"/>
      <c r="U10" s="47"/>
    </row>
    <row r="11" spans="1:21" ht="15.75">
      <c r="A11" s="10"/>
      <c r="B11" s="14"/>
      <c r="C11" s="14"/>
      <c r="D11" s="10"/>
      <c r="E11" s="10"/>
      <c r="F11" s="10"/>
      <c r="G11" s="10"/>
      <c r="H11" s="10"/>
      <c r="I11" s="10"/>
      <c r="J11" s="10"/>
      <c r="K11" s="157"/>
      <c r="L11" s="15"/>
      <c r="M11" s="126" t="s">
        <v>20</v>
      </c>
      <c r="N11" s="126" t="s">
        <v>21</v>
      </c>
      <c r="O11" s="17" t="s">
        <v>22</v>
      </c>
      <c r="P11" s="47"/>
      <c r="Q11" s="47"/>
      <c r="R11" s="47"/>
      <c r="S11" s="47"/>
      <c r="T11" s="47"/>
      <c r="U11" s="47"/>
    </row>
    <row r="12" spans="1:21" ht="15.75">
      <c r="A12" s="21">
        <v>1</v>
      </c>
      <c r="B12" s="22">
        <v>2</v>
      </c>
      <c r="C12" s="22">
        <v>3</v>
      </c>
      <c r="D12" s="22">
        <v>4</v>
      </c>
      <c r="E12" s="22">
        <v>5</v>
      </c>
      <c r="F12" s="22">
        <v>6</v>
      </c>
      <c r="G12" s="22">
        <v>7</v>
      </c>
      <c r="H12" s="22">
        <v>8</v>
      </c>
      <c r="I12" s="22">
        <v>9</v>
      </c>
      <c r="J12" s="32">
        <v>10</v>
      </c>
      <c r="K12" s="22">
        <v>11</v>
      </c>
      <c r="L12" s="22">
        <v>12</v>
      </c>
      <c r="M12" s="27">
        <v>13</v>
      </c>
      <c r="N12" s="159">
        <v>14</v>
      </c>
      <c r="O12" s="166">
        <v>15</v>
      </c>
      <c r="P12" s="47"/>
      <c r="Q12" s="47"/>
      <c r="R12" s="47"/>
      <c r="S12" s="47"/>
      <c r="T12" s="47"/>
      <c r="U12" s="47"/>
    </row>
    <row r="13" spans="1:21" ht="15.75">
      <c r="A13" s="10"/>
      <c r="B13" s="14"/>
      <c r="C13" s="14"/>
      <c r="D13" s="10"/>
      <c r="E13" s="10"/>
      <c r="F13" s="10"/>
      <c r="G13" s="21" t="s">
        <v>23</v>
      </c>
      <c r="H13" s="21"/>
      <c r="I13" s="21"/>
      <c r="J13" s="21" t="s">
        <v>24</v>
      </c>
      <c r="K13" s="61"/>
      <c r="L13" s="21" t="s">
        <v>25</v>
      </c>
      <c r="M13" s="10"/>
      <c r="N13" s="157"/>
      <c r="O13" s="165"/>
      <c r="P13" s="47"/>
      <c r="Q13" s="47"/>
      <c r="R13" s="47"/>
      <c r="S13" s="47"/>
      <c r="T13" s="47"/>
      <c r="U13" s="47"/>
    </row>
    <row r="14" spans="1:21" ht="15.75">
      <c r="A14" s="55">
        <v>1</v>
      </c>
      <c r="B14" s="7" t="s">
        <v>26</v>
      </c>
      <c r="C14" s="56" t="s">
        <v>84</v>
      </c>
      <c r="D14" s="57">
        <v>2</v>
      </c>
      <c r="E14" s="57">
        <v>120</v>
      </c>
      <c r="F14" s="58">
        <v>0</v>
      </c>
      <c r="G14" s="21">
        <f t="shared" ref="G14:G38" si="0">D14*F14</f>
        <v>0</v>
      </c>
      <c r="H14" s="57">
        <v>6</v>
      </c>
      <c r="I14" s="58">
        <v>4</v>
      </c>
      <c r="J14" s="21">
        <f t="shared" ref="J14:J38" si="1">H14*I14</f>
        <v>24</v>
      </c>
      <c r="K14" s="61">
        <v>0</v>
      </c>
      <c r="L14" s="10">
        <f t="shared" ref="L14:L45" si="2">G14+J14</f>
        <v>24</v>
      </c>
      <c r="M14" s="21">
        <v>0</v>
      </c>
      <c r="N14" s="160">
        <v>2</v>
      </c>
      <c r="O14" s="174">
        <v>0</v>
      </c>
      <c r="P14" s="47"/>
      <c r="Q14" s="47"/>
      <c r="R14" s="47"/>
      <c r="S14" s="47"/>
      <c r="T14" s="47"/>
      <c r="U14" s="47"/>
    </row>
    <row r="15" spans="1:21" ht="21" customHeight="1">
      <c r="A15" s="201">
        <v>2</v>
      </c>
      <c r="B15" s="201" t="s">
        <v>30</v>
      </c>
      <c r="C15" s="56" t="s">
        <v>85</v>
      </c>
      <c r="D15" s="58">
        <v>2</v>
      </c>
      <c r="E15" s="230">
        <v>120</v>
      </c>
      <c r="F15" s="58">
        <v>0</v>
      </c>
      <c r="G15" s="21">
        <f t="shared" si="0"/>
        <v>0</v>
      </c>
      <c r="H15" s="58">
        <v>6</v>
      </c>
      <c r="I15" s="58">
        <v>4</v>
      </c>
      <c r="J15" s="21">
        <f t="shared" si="1"/>
        <v>24</v>
      </c>
      <c r="K15" s="61">
        <v>0</v>
      </c>
      <c r="L15" s="10">
        <f t="shared" si="2"/>
        <v>24</v>
      </c>
      <c r="M15" s="21">
        <v>0</v>
      </c>
      <c r="N15" s="160">
        <v>2</v>
      </c>
      <c r="O15" s="174">
        <v>0</v>
      </c>
      <c r="P15" s="47"/>
      <c r="Q15" s="47"/>
      <c r="R15" s="47"/>
      <c r="S15" s="47"/>
      <c r="T15" s="47"/>
      <c r="U15" s="47"/>
    </row>
    <row r="16" spans="1:21" ht="27" customHeight="1">
      <c r="A16" s="194"/>
      <c r="B16" s="194"/>
      <c r="C16" s="35" t="s">
        <v>86</v>
      </c>
      <c r="D16" s="26">
        <v>2</v>
      </c>
      <c r="E16" s="194"/>
      <c r="F16" s="26">
        <v>2</v>
      </c>
      <c r="G16" s="21">
        <f t="shared" si="0"/>
        <v>4</v>
      </c>
      <c r="H16" s="26">
        <v>6</v>
      </c>
      <c r="I16" s="26">
        <v>2</v>
      </c>
      <c r="J16" s="21">
        <f t="shared" si="1"/>
        <v>12</v>
      </c>
      <c r="K16" s="61">
        <v>0</v>
      </c>
      <c r="L16" s="10">
        <f t="shared" si="2"/>
        <v>16</v>
      </c>
      <c r="M16" s="22">
        <v>2</v>
      </c>
      <c r="N16" s="135">
        <v>1</v>
      </c>
      <c r="O16" s="174">
        <v>0</v>
      </c>
      <c r="P16" s="47"/>
      <c r="Q16" s="47"/>
      <c r="R16" s="47"/>
      <c r="S16" s="47"/>
      <c r="T16" s="47"/>
      <c r="U16" s="47"/>
    </row>
    <row r="17" spans="1:21" ht="30" customHeight="1">
      <c r="A17" s="201">
        <v>4</v>
      </c>
      <c r="B17" s="201" t="s">
        <v>33</v>
      </c>
      <c r="C17" s="59" t="s">
        <v>87</v>
      </c>
      <c r="D17" s="26">
        <v>1</v>
      </c>
      <c r="E17" s="193">
        <v>68</v>
      </c>
      <c r="F17" s="31">
        <v>4</v>
      </c>
      <c r="G17" s="21">
        <f t="shared" si="0"/>
        <v>4</v>
      </c>
      <c r="H17" s="31">
        <v>3</v>
      </c>
      <c r="I17" s="31">
        <v>0</v>
      </c>
      <c r="J17" s="21">
        <f t="shared" si="1"/>
        <v>0</v>
      </c>
      <c r="K17" s="61">
        <v>0</v>
      </c>
      <c r="L17" s="10">
        <f t="shared" si="2"/>
        <v>4</v>
      </c>
      <c r="M17" s="32">
        <v>4</v>
      </c>
      <c r="N17" s="135">
        <v>0</v>
      </c>
      <c r="O17" s="174">
        <v>0</v>
      </c>
      <c r="P17" s="47"/>
      <c r="Q17" s="47"/>
      <c r="R17" s="47"/>
      <c r="S17" s="47"/>
      <c r="T17" s="47"/>
      <c r="U17" s="47"/>
    </row>
    <row r="18" spans="1:21" ht="30" customHeight="1">
      <c r="A18" s="197"/>
      <c r="B18" s="197"/>
      <c r="C18" s="60" t="s">
        <v>88</v>
      </c>
      <c r="D18" s="57">
        <v>2</v>
      </c>
      <c r="E18" s="197"/>
      <c r="F18" s="57">
        <v>3</v>
      </c>
      <c r="G18" s="21">
        <f t="shared" si="0"/>
        <v>6</v>
      </c>
      <c r="H18" s="57">
        <v>6</v>
      </c>
      <c r="I18" s="57">
        <v>4</v>
      </c>
      <c r="J18" s="21">
        <f t="shared" si="1"/>
        <v>24</v>
      </c>
      <c r="K18" s="61">
        <v>0</v>
      </c>
      <c r="L18" s="10">
        <f t="shared" si="2"/>
        <v>30</v>
      </c>
      <c r="M18" s="61">
        <v>3</v>
      </c>
      <c r="N18" s="160">
        <v>2</v>
      </c>
      <c r="O18" s="174">
        <v>0</v>
      </c>
      <c r="P18" s="47"/>
      <c r="Q18" s="47"/>
      <c r="R18" s="47"/>
      <c r="S18" s="47"/>
      <c r="T18" s="47"/>
      <c r="U18" s="47"/>
    </row>
    <row r="19" spans="1:21" ht="30" customHeight="1">
      <c r="A19" s="197"/>
      <c r="B19" s="197"/>
      <c r="C19" s="56" t="s">
        <v>89</v>
      </c>
      <c r="D19" s="57">
        <v>2</v>
      </c>
      <c r="E19" s="197"/>
      <c r="F19" s="57">
        <v>2</v>
      </c>
      <c r="G19" s="21">
        <f t="shared" si="0"/>
        <v>4</v>
      </c>
      <c r="H19" s="57">
        <v>6</v>
      </c>
      <c r="I19" s="57">
        <v>2</v>
      </c>
      <c r="J19" s="21">
        <f t="shared" si="1"/>
        <v>12</v>
      </c>
      <c r="K19" s="61">
        <v>0</v>
      </c>
      <c r="L19" s="10">
        <f t="shared" si="2"/>
        <v>16</v>
      </c>
      <c r="M19" s="61">
        <v>2</v>
      </c>
      <c r="N19" s="160">
        <v>1</v>
      </c>
      <c r="O19" s="174">
        <v>0</v>
      </c>
      <c r="P19" s="47"/>
      <c r="Q19" s="47"/>
      <c r="R19" s="47"/>
      <c r="S19" s="47"/>
      <c r="T19" s="47"/>
      <c r="U19" s="47"/>
    </row>
    <row r="20" spans="1:21" ht="30" customHeight="1">
      <c r="A20" s="197"/>
      <c r="B20" s="197"/>
      <c r="C20" s="25" t="s">
        <v>90</v>
      </c>
      <c r="D20" s="26">
        <v>1</v>
      </c>
      <c r="E20" s="197"/>
      <c r="F20" s="31">
        <v>2</v>
      </c>
      <c r="G20" s="21">
        <f t="shared" si="0"/>
        <v>2</v>
      </c>
      <c r="H20" s="31">
        <v>3</v>
      </c>
      <c r="I20" s="26">
        <v>2</v>
      </c>
      <c r="J20" s="21">
        <f t="shared" si="1"/>
        <v>6</v>
      </c>
      <c r="K20" s="61">
        <v>0</v>
      </c>
      <c r="L20" s="10">
        <f t="shared" si="2"/>
        <v>8</v>
      </c>
      <c r="M20" s="32">
        <v>2</v>
      </c>
      <c r="N20" s="135">
        <v>1</v>
      </c>
      <c r="O20" s="174">
        <v>0</v>
      </c>
      <c r="P20" s="47"/>
      <c r="Q20" s="47"/>
      <c r="R20" s="47"/>
      <c r="S20" s="47"/>
      <c r="T20" s="47"/>
      <c r="U20" s="47"/>
    </row>
    <row r="21" spans="1:21" ht="30" customHeight="1">
      <c r="A21" s="197"/>
      <c r="B21" s="197"/>
      <c r="C21" s="25" t="s">
        <v>91</v>
      </c>
      <c r="D21" s="26">
        <v>1</v>
      </c>
      <c r="E21" s="197"/>
      <c r="F21" s="31">
        <v>2</v>
      </c>
      <c r="G21" s="21">
        <f t="shared" si="0"/>
        <v>2</v>
      </c>
      <c r="H21" s="31">
        <v>3</v>
      </c>
      <c r="I21" s="31">
        <v>0</v>
      </c>
      <c r="J21" s="21">
        <f t="shared" si="1"/>
        <v>0</v>
      </c>
      <c r="K21" s="61">
        <v>0</v>
      </c>
      <c r="L21" s="10">
        <f t="shared" si="2"/>
        <v>2</v>
      </c>
      <c r="M21" s="32">
        <v>2</v>
      </c>
      <c r="N21" s="135">
        <v>0</v>
      </c>
      <c r="O21" s="174">
        <v>0</v>
      </c>
      <c r="P21" s="47"/>
      <c r="Q21" s="47"/>
      <c r="R21" s="47"/>
      <c r="S21" s="47"/>
      <c r="T21" s="47"/>
      <c r="U21" s="47"/>
    </row>
    <row r="22" spans="1:21" ht="24.75" customHeight="1">
      <c r="A22" s="197"/>
      <c r="B22" s="197"/>
      <c r="C22" s="62" t="s">
        <v>92</v>
      </c>
      <c r="D22" s="26">
        <v>1</v>
      </c>
      <c r="E22" s="197"/>
      <c r="F22" s="31">
        <v>0</v>
      </c>
      <c r="G22" s="21">
        <f t="shared" si="0"/>
        <v>0</v>
      </c>
      <c r="H22" s="31">
        <v>6</v>
      </c>
      <c r="I22" s="26">
        <v>2</v>
      </c>
      <c r="J22" s="21">
        <f t="shared" si="1"/>
        <v>12</v>
      </c>
      <c r="K22" s="61">
        <v>0</v>
      </c>
      <c r="L22" s="10">
        <f t="shared" si="2"/>
        <v>12</v>
      </c>
      <c r="M22" s="32">
        <v>0</v>
      </c>
      <c r="N22" s="135">
        <v>1</v>
      </c>
      <c r="O22" s="174">
        <v>0</v>
      </c>
      <c r="P22" s="47"/>
      <c r="Q22" s="47"/>
      <c r="R22" s="47"/>
      <c r="S22" s="47"/>
      <c r="T22" s="47"/>
      <c r="U22" s="47"/>
    </row>
    <row r="23" spans="1:21" ht="27" customHeight="1">
      <c r="A23" s="194"/>
      <c r="B23" s="194"/>
      <c r="C23" s="62" t="s">
        <v>93</v>
      </c>
      <c r="D23" s="26">
        <v>1</v>
      </c>
      <c r="E23" s="194"/>
      <c r="F23" s="31">
        <v>0</v>
      </c>
      <c r="G23" s="21">
        <f t="shared" si="0"/>
        <v>0</v>
      </c>
      <c r="H23" s="31">
        <v>3</v>
      </c>
      <c r="I23" s="31">
        <v>4</v>
      </c>
      <c r="J23" s="21">
        <f t="shared" si="1"/>
        <v>12</v>
      </c>
      <c r="K23" s="61">
        <v>0</v>
      </c>
      <c r="L23" s="10">
        <f t="shared" si="2"/>
        <v>12</v>
      </c>
      <c r="M23" s="32">
        <v>0</v>
      </c>
      <c r="N23" s="135">
        <v>2</v>
      </c>
      <c r="O23" s="174">
        <v>0</v>
      </c>
      <c r="P23" s="47"/>
      <c r="Q23" s="47"/>
      <c r="R23" s="47"/>
      <c r="S23" s="47"/>
      <c r="T23" s="47"/>
      <c r="U23" s="47"/>
    </row>
    <row r="24" spans="1:21" ht="25.5" customHeight="1">
      <c r="A24" s="210">
        <v>5</v>
      </c>
      <c r="B24" s="201" t="s">
        <v>41</v>
      </c>
      <c r="C24" s="63" t="s">
        <v>94</v>
      </c>
      <c r="D24" s="26">
        <v>1</v>
      </c>
      <c r="E24" s="193">
        <v>25</v>
      </c>
      <c r="F24" s="26">
        <v>4</v>
      </c>
      <c r="G24" s="21">
        <f t="shared" si="0"/>
        <v>4</v>
      </c>
      <c r="H24" s="26">
        <v>1</v>
      </c>
      <c r="I24" s="26">
        <v>4</v>
      </c>
      <c r="J24" s="21">
        <f t="shared" si="1"/>
        <v>4</v>
      </c>
      <c r="K24" s="61">
        <v>0</v>
      </c>
      <c r="L24" s="10">
        <f t="shared" si="2"/>
        <v>8</v>
      </c>
      <c r="M24" s="22">
        <v>4</v>
      </c>
      <c r="N24" s="135">
        <v>2</v>
      </c>
      <c r="O24" s="174">
        <v>0</v>
      </c>
      <c r="P24" s="47"/>
      <c r="Q24" s="47"/>
      <c r="R24" s="47"/>
      <c r="S24" s="47"/>
      <c r="T24" s="47"/>
      <c r="U24" s="47"/>
    </row>
    <row r="25" spans="1:21" ht="24.75" customHeight="1">
      <c r="A25" s="197"/>
      <c r="B25" s="197"/>
      <c r="C25" s="64" t="s">
        <v>95</v>
      </c>
      <c r="D25" s="26">
        <v>1</v>
      </c>
      <c r="E25" s="197"/>
      <c r="F25" s="26">
        <v>3</v>
      </c>
      <c r="G25" s="21">
        <f t="shared" si="0"/>
        <v>3</v>
      </c>
      <c r="H25" s="26">
        <v>1</v>
      </c>
      <c r="I25" s="26">
        <v>2</v>
      </c>
      <c r="J25" s="21">
        <f t="shared" si="1"/>
        <v>2</v>
      </c>
      <c r="K25" s="61">
        <v>0</v>
      </c>
      <c r="L25" s="10">
        <f t="shared" si="2"/>
        <v>5</v>
      </c>
      <c r="M25" s="22">
        <v>3</v>
      </c>
      <c r="N25" s="135">
        <v>1</v>
      </c>
      <c r="O25" s="174">
        <v>0</v>
      </c>
      <c r="P25" s="47"/>
      <c r="Q25" s="47"/>
      <c r="R25" s="47"/>
      <c r="S25" s="47"/>
      <c r="T25" s="47"/>
      <c r="U25" s="47"/>
    </row>
    <row r="26" spans="1:21" ht="24" customHeight="1">
      <c r="A26" s="197"/>
      <c r="B26" s="197"/>
      <c r="C26" s="62" t="s">
        <v>96</v>
      </c>
      <c r="D26" s="26">
        <v>1</v>
      </c>
      <c r="E26" s="197"/>
      <c r="F26" s="26">
        <v>3</v>
      </c>
      <c r="G26" s="21">
        <f t="shared" si="0"/>
        <v>3</v>
      </c>
      <c r="H26" s="26">
        <v>1</v>
      </c>
      <c r="I26" s="26">
        <v>2</v>
      </c>
      <c r="J26" s="21">
        <f t="shared" si="1"/>
        <v>2</v>
      </c>
      <c r="K26" s="61">
        <v>0</v>
      </c>
      <c r="L26" s="10">
        <f t="shared" si="2"/>
        <v>5</v>
      </c>
      <c r="M26" s="22">
        <v>3</v>
      </c>
      <c r="N26" s="135">
        <v>1</v>
      </c>
      <c r="O26" s="174">
        <v>0</v>
      </c>
      <c r="P26" s="47"/>
      <c r="Q26" s="47"/>
      <c r="R26" s="47"/>
      <c r="S26" s="47"/>
      <c r="T26" s="47"/>
      <c r="U26" s="47"/>
    </row>
    <row r="27" spans="1:21" ht="24" customHeight="1">
      <c r="A27" s="197"/>
      <c r="B27" s="197"/>
      <c r="C27" s="64" t="s">
        <v>97</v>
      </c>
      <c r="D27" s="26">
        <v>1</v>
      </c>
      <c r="E27" s="197"/>
      <c r="F27" s="26">
        <v>4</v>
      </c>
      <c r="G27" s="21">
        <f t="shared" si="0"/>
        <v>4</v>
      </c>
      <c r="H27" s="26">
        <v>1</v>
      </c>
      <c r="I27" s="26">
        <v>2</v>
      </c>
      <c r="J27" s="21">
        <f t="shared" si="1"/>
        <v>2</v>
      </c>
      <c r="K27" s="61">
        <v>0</v>
      </c>
      <c r="L27" s="10">
        <f t="shared" si="2"/>
        <v>6</v>
      </c>
      <c r="M27" s="22">
        <v>4</v>
      </c>
      <c r="N27" s="135">
        <v>1</v>
      </c>
      <c r="O27" s="174">
        <v>0</v>
      </c>
      <c r="P27" s="47"/>
      <c r="Q27" s="47"/>
      <c r="R27" s="47"/>
      <c r="S27" s="47"/>
      <c r="T27" s="47"/>
      <c r="U27" s="47"/>
    </row>
    <row r="28" spans="1:21" ht="19.5" customHeight="1">
      <c r="A28" s="197"/>
      <c r="B28" s="197"/>
      <c r="C28" s="64" t="s">
        <v>98</v>
      </c>
      <c r="D28" s="26">
        <v>1</v>
      </c>
      <c r="E28" s="197"/>
      <c r="F28" s="26">
        <v>2</v>
      </c>
      <c r="G28" s="21">
        <f t="shared" si="0"/>
        <v>2</v>
      </c>
      <c r="H28" s="26">
        <v>1</v>
      </c>
      <c r="I28" s="26">
        <v>2</v>
      </c>
      <c r="J28" s="21">
        <f t="shared" si="1"/>
        <v>2</v>
      </c>
      <c r="K28" s="61">
        <v>0</v>
      </c>
      <c r="L28" s="10">
        <f t="shared" si="2"/>
        <v>4</v>
      </c>
      <c r="M28" s="22">
        <v>2</v>
      </c>
      <c r="N28" s="135">
        <v>1</v>
      </c>
      <c r="O28" s="174">
        <v>0</v>
      </c>
      <c r="P28" s="47"/>
      <c r="Q28" s="47"/>
      <c r="R28" s="47"/>
      <c r="S28" s="47"/>
      <c r="T28" s="47"/>
      <c r="U28" s="47"/>
    </row>
    <row r="29" spans="1:21" ht="27" customHeight="1">
      <c r="A29" s="197"/>
      <c r="B29" s="197"/>
      <c r="C29" s="64" t="s">
        <v>99</v>
      </c>
      <c r="D29" s="26">
        <v>1</v>
      </c>
      <c r="E29" s="197"/>
      <c r="F29" s="26">
        <v>3</v>
      </c>
      <c r="G29" s="21">
        <f t="shared" si="0"/>
        <v>3</v>
      </c>
      <c r="H29" s="26">
        <v>1</v>
      </c>
      <c r="I29" s="26">
        <v>2</v>
      </c>
      <c r="J29" s="21">
        <f t="shared" si="1"/>
        <v>2</v>
      </c>
      <c r="K29" s="61">
        <v>0</v>
      </c>
      <c r="L29" s="10">
        <f t="shared" si="2"/>
        <v>5</v>
      </c>
      <c r="M29" s="22">
        <v>3</v>
      </c>
      <c r="N29" s="135">
        <v>1</v>
      </c>
      <c r="O29" s="174">
        <v>0</v>
      </c>
      <c r="P29" s="47"/>
      <c r="Q29" s="47"/>
      <c r="R29" s="47"/>
      <c r="S29" s="47"/>
      <c r="T29" s="47"/>
      <c r="U29" s="47"/>
    </row>
    <row r="30" spans="1:21" ht="25.5" customHeight="1">
      <c r="A30" s="210">
        <v>6</v>
      </c>
      <c r="B30" s="201" t="s">
        <v>48</v>
      </c>
      <c r="C30" s="65" t="s">
        <v>100</v>
      </c>
      <c r="D30" s="66">
        <v>1</v>
      </c>
      <c r="E30" s="223">
        <v>21</v>
      </c>
      <c r="F30" s="67">
        <v>2</v>
      </c>
      <c r="G30" s="68">
        <f t="shared" si="0"/>
        <v>2</v>
      </c>
      <c r="H30" s="69">
        <v>1</v>
      </c>
      <c r="I30" s="67">
        <v>2</v>
      </c>
      <c r="J30" s="68">
        <f t="shared" si="1"/>
        <v>2</v>
      </c>
      <c r="K30" s="61">
        <v>0</v>
      </c>
      <c r="L30" s="10">
        <f t="shared" si="2"/>
        <v>4</v>
      </c>
      <c r="M30" s="67">
        <v>2</v>
      </c>
      <c r="N30" s="72">
        <v>1</v>
      </c>
      <c r="O30" s="174">
        <v>0</v>
      </c>
      <c r="P30" s="47"/>
      <c r="Q30" s="47"/>
      <c r="R30" s="47"/>
      <c r="S30" s="47"/>
      <c r="T30" s="47"/>
      <c r="U30" s="47"/>
    </row>
    <row r="31" spans="1:21" ht="22.5" customHeight="1">
      <c r="A31" s="197"/>
      <c r="B31" s="197"/>
      <c r="C31" s="71" t="s">
        <v>101</v>
      </c>
      <c r="D31" s="72">
        <v>1</v>
      </c>
      <c r="E31" s="197"/>
      <c r="F31" s="67">
        <v>2</v>
      </c>
      <c r="G31" s="68">
        <f t="shared" si="0"/>
        <v>2</v>
      </c>
      <c r="H31" s="70">
        <v>1</v>
      </c>
      <c r="I31" s="70">
        <v>2</v>
      </c>
      <c r="J31" s="68">
        <f t="shared" si="1"/>
        <v>2</v>
      </c>
      <c r="K31" s="61">
        <v>0</v>
      </c>
      <c r="L31" s="10">
        <f t="shared" si="2"/>
        <v>4</v>
      </c>
      <c r="M31" s="70">
        <v>2</v>
      </c>
      <c r="N31" s="72">
        <v>1</v>
      </c>
      <c r="O31" s="174">
        <v>0</v>
      </c>
      <c r="P31" s="47"/>
      <c r="Q31" s="47"/>
      <c r="R31" s="47"/>
      <c r="S31" s="47"/>
      <c r="T31" s="47"/>
      <c r="U31" s="47"/>
    </row>
    <row r="32" spans="1:21" ht="25.5" customHeight="1">
      <c r="A32" s="197"/>
      <c r="B32" s="197"/>
      <c r="C32" s="73" t="s">
        <v>102</v>
      </c>
      <c r="D32" s="74">
        <v>1</v>
      </c>
      <c r="E32" s="197"/>
      <c r="F32" s="75">
        <v>2</v>
      </c>
      <c r="G32" s="76">
        <f t="shared" si="0"/>
        <v>2</v>
      </c>
      <c r="H32" s="77">
        <v>1</v>
      </c>
      <c r="I32" s="77">
        <v>2</v>
      </c>
      <c r="J32" s="76">
        <f t="shared" si="1"/>
        <v>2</v>
      </c>
      <c r="K32" s="61">
        <v>0</v>
      </c>
      <c r="L32" s="10">
        <f t="shared" si="2"/>
        <v>4</v>
      </c>
      <c r="M32" s="77">
        <v>2</v>
      </c>
      <c r="N32" s="74">
        <v>1</v>
      </c>
      <c r="O32" s="174">
        <v>0</v>
      </c>
      <c r="P32" s="47"/>
      <c r="Q32" s="47"/>
      <c r="R32" s="47"/>
      <c r="S32" s="47"/>
      <c r="T32" s="47"/>
      <c r="U32" s="47"/>
    </row>
    <row r="33" spans="1:21" ht="30" customHeight="1">
      <c r="A33" s="197"/>
      <c r="B33" s="197"/>
      <c r="C33" s="35" t="s">
        <v>103</v>
      </c>
      <c r="D33" s="37">
        <v>1</v>
      </c>
      <c r="E33" s="197"/>
      <c r="F33" s="39">
        <v>2</v>
      </c>
      <c r="G33" s="21">
        <f t="shared" si="0"/>
        <v>2</v>
      </c>
      <c r="H33" s="22">
        <v>1</v>
      </c>
      <c r="I33" s="22">
        <v>0</v>
      </c>
      <c r="J33" s="21">
        <f t="shared" si="1"/>
        <v>0</v>
      </c>
      <c r="K33" s="61">
        <v>0</v>
      </c>
      <c r="L33" s="10">
        <f t="shared" si="2"/>
        <v>2</v>
      </c>
      <c r="M33" s="22">
        <v>2</v>
      </c>
      <c r="N33" s="135">
        <v>0</v>
      </c>
      <c r="O33" s="174">
        <v>0</v>
      </c>
      <c r="P33" s="47"/>
      <c r="Q33" s="47"/>
      <c r="R33" s="47"/>
      <c r="S33" s="47"/>
      <c r="T33" s="47"/>
      <c r="U33" s="47"/>
    </row>
    <row r="34" spans="1:21" ht="29.25" customHeight="1">
      <c r="A34" s="197"/>
      <c r="B34" s="197"/>
      <c r="C34" s="73" t="s">
        <v>104</v>
      </c>
      <c r="D34" s="74">
        <v>1</v>
      </c>
      <c r="E34" s="197"/>
      <c r="F34" s="75">
        <v>2</v>
      </c>
      <c r="G34" s="21">
        <f t="shared" si="0"/>
        <v>2</v>
      </c>
      <c r="H34" s="77">
        <v>1</v>
      </c>
      <c r="I34" s="77">
        <v>0</v>
      </c>
      <c r="J34" s="76">
        <f t="shared" si="1"/>
        <v>0</v>
      </c>
      <c r="K34" s="61">
        <v>0</v>
      </c>
      <c r="L34" s="10">
        <f t="shared" si="2"/>
        <v>2</v>
      </c>
      <c r="M34" s="77">
        <v>2</v>
      </c>
      <c r="N34" s="74">
        <v>0</v>
      </c>
      <c r="O34" s="174">
        <v>0</v>
      </c>
      <c r="P34" s="47"/>
      <c r="Q34" s="47"/>
      <c r="R34" s="47"/>
      <c r="S34" s="47"/>
      <c r="T34" s="47"/>
      <c r="U34" s="47"/>
    </row>
    <row r="35" spans="1:21" ht="26.25" customHeight="1">
      <c r="A35" s="197"/>
      <c r="B35" s="197"/>
      <c r="C35" s="35" t="s">
        <v>105</v>
      </c>
      <c r="D35" s="37">
        <v>1</v>
      </c>
      <c r="E35" s="197"/>
      <c r="F35" s="39">
        <v>0</v>
      </c>
      <c r="G35" s="21">
        <f t="shared" si="0"/>
        <v>0</v>
      </c>
      <c r="H35" s="22">
        <v>1</v>
      </c>
      <c r="I35" s="22">
        <v>4</v>
      </c>
      <c r="J35" s="21">
        <f t="shared" si="1"/>
        <v>4</v>
      </c>
      <c r="K35" s="61">
        <v>0</v>
      </c>
      <c r="L35" s="10">
        <f t="shared" si="2"/>
        <v>4</v>
      </c>
      <c r="M35" s="22">
        <v>0</v>
      </c>
      <c r="N35" s="135">
        <v>2</v>
      </c>
      <c r="O35" s="174">
        <v>0</v>
      </c>
      <c r="P35" s="47"/>
      <c r="Q35" s="47"/>
      <c r="R35" s="47"/>
      <c r="S35" s="47"/>
      <c r="T35" s="47"/>
      <c r="U35" s="47"/>
    </row>
    <row r="36" spans="1:21" ht="30" customHeight="1">
      <c r="A36" s="197"/>
      <c r="B36" s="197"/>
      <c r="C36" s="35" t="s">
        <v>106</v>
      </c>
      <c r="D36" s="74">
        <v>1</v>
      </c>
      <c r="E36" s="197"/>
      <c r="F36" s="75">
        <v>2</v>
      </c>
      <c r="G36" s="21">
        <f t="shared" si="0"/>
        <v>2</v>
      </c>
      <c r="H36" s="77">
        <v>1</v>
      </c>
      <c r="I36" s="77">
        <v>0</v>
      </c>
      <c r="J36" s="76">
        <f t="shared" si="1"/>
        <v>0</v>
      </c>
      <c r="K36" s="61">
        <v>0</v>
      </c>
      <c r="L36" s="10">
        <f t="shared" si="2"/>
        <v>2</v>
      </c>
      <c r="M36" s="77">
        <v>2</v>
      </c>
      <c r="N36" s="74">
        <v>0</v>
      </c>
      <c r="O36" s="174">
        <v>0</v>
      </c>
      <c r="P36" s="47"/>
      <c r="Q36" s="47"/>
      <c r="R36" s="47"/>
      <c r="S36" s="47"/>
      <c r="T36" s="47"/>
      <c r="U36" s="47"/>
    </row>
    <row r="37" spans="1:21" ht="30" customHeight="1">
      <c r="A37" s="197"/>
      <c r="B37" s="197"/>
      <c r="C37" s="35" t="s">
        <v>107</v>
      </c>
      <c r="D37" s="74">
        <v>1</v>
      </c>
      <c r="E37" s="197"/>
      <c r="F37" s="75">
        <v>2</v>
      </c>
      <c r="G37" s="21">
        <f t="shared" si="0"/>
        <v>2</v>
      </c>
      <c r="H37" s="77">
        <v>1</v>
      </c>
      <c r="I37" s="77">
        <v>0</v>
      </c>
      <c r="J37" s="76">
        <f t="shared" si="1"/>
        <v>0</v>
      </c>
      <c r="K37" s="61">
        <v>0</v>
      </c>
      <c r="L37" s="10">
        <f t="shared" si="2"/>
        <v>2</v>
      </c>
      <c r="M37" s="77">
        <v>2</v>
      </c>
      <c r="N37" s="74">
        <v>0</v>
      </c>
      <c r="O37" s="174">
        <v>0</v>
      </c>
      <c r="P37" s="47"/>
      <c r="Q37" s="47"/>
      <c r="R37" s="47"/>
      <c r="S37" s="47"/>
      <c r="T37" s="47"/>
      <c r="U37" s="47"/>
    </row>
    <row r="38" spans="1:21" ht="28.5" customHeight="1">
      <c r="A38" s="197"/>
      <c r="B38" s="197"/>
      <c r="C38" s="35" t="s">
        <v>108</v>
      </c>
      <c r="D38" s="74">
        <v>1</v>
      </c>
      <c r="E38" s="194"/>
      <c r="F38" s="75">
        <v>2</v>
      </c>
      <c r="G38" s="21">
        <f t="shared" si="0"/>
        <v>2</v>
      </c>
      <c r="H38" s="77">
        <v>1</v>
      </c>
      <c r="I38" s="77">
        <v>0</v>
      </c>
      <c r="J38" s="76">
        <f t="shared" si="1"/>
        <v>0</v>
      </c>
      <c r="K38" s="61">
        <v>0</v>
      </c>
      <c r="L38" s="10">
        <f t="shared" si="2"/>
        <v>2</v>
      </c>
      <c r="M38" s="77">
        <v>2</v>
      </c>
      <c r="N38" s="74">
        <v>0</v>
      </c>
      <c r="O38" s="174">
        <v>0</v>
      </c>
      <c r="P38" s="47"/>
      <c r="Q38" s="47"/>
      <c r="R38" s="47"/>
      <c r="S38" s="47"/>
      <c r="T38" s="47"/>
      <c r="U38" s="47"/>
    </row>
    <row r="39" spans="1:21" ht="30" customHeight="1">
      <c r="A39" s="231">
        <v>7</v>
      </c>
      <c r="B39" s="201" t="s">
        <v>57</v>
      </c>
      <c r="C39" s="78" t="s">
        <v>109</v>
      </c>
      <c r="D39" s="79">
        <v>1</v>
      </c>
      <c r="E39" s="223">
        <v>17</v>
      </c>
      <c r="F39" s="80">
        <v>2</v>
      </c>
      <c r="G39" s="81">
        <v>2</v>
      </c>
      <c r="H39" s="82">
        <v>1</v>
      </c>
      <c r="I39" s="83">
        <v>2</v>
      </c>
      <c r="J39" s="81">
        <v>2</v>
      </c>
      <c r="K39" s="61">
        <v>0</v>
      </c>
      <c r="L39" s="10">
        <f t="shared" si="2"/>
        <v>4</v>
      </c>
      <c r="M39" s="83">
        <v>2</v>
      </c>
      <c r="N39" s="85">
        <v>1</v>
      </c>
      <c r="O39" s="174">
        <v>0</v>
      </c>
      <c r="P39" s="47"/>
      <c r="Q39" s="47"/>
      <c r="R39" s="47"/>
      <c r="S39" s="47"/>
      <c r="T39" s="47"/>
      <c r="U39" s="47"/>
    </row>
    <row r="40" spans="1:21" ht="30" customHeight="1">
      <c r="A40" s="197"/>
      <c r="B40" s="197"/>
      <c r="C40" s="78" t="s">
        <v>110</v>
      </c>
      <c r="D40" s="79">
        <v>1</v>
      </c>
      <c r="E40" s="197"/>
      <c r="F40" s="80">
        <v>2</v>
      </c>
      <c r="G40" s="81">
        <v>2</v>
      </c>
      <c r="H40" s="82">
        <v>1</v>
      </c>
      <c r="I40" s="83">
        <v>2</v>
      </c>
      <c r="J40" s="81">
        <v>2</v>
      </c>
      <c r="K40" s="61">
        <v>0</v>
      </c>
      <c r="L40" s="10">
        <f t="shared" si="2"/>
        <v>4</v>
      </c>
      <c r="M40" s="83">
        <v>2</v>
      </c>
      <c r="N40" s="85">
        <v>1</v>
      </c>
      <c r="O40" s="174">
        <v>0</v>
      </c>
      <c r="P40" s="47"/>
      <c r="Q40" s="47"/>
      <c r="R40" s="47"/>
      <c r="S40" s="47"/>
      <c r="T40" s="47"/>
      <c r="U40" s="47"/>
    </row>
    <row r="41" spans="1:21" ht="30" customHeight="1">
      <c r="A41" s="197"/>
      <c r="B41" s="197"/>
      <c r="C41" s="78" t="s">
        <v>111</v>
      </c>
      <c r="D41" s="79">
        <v>1</v>
      </c>
      <c r="E41" s="197"/>
      <c r="F41" s="80">
        <v>2</v>
      </c>
      <c r="G41" s="81">
        <v>2</v>
      </c>
      <c r="H41" s="82">
        <v>1</v>
      </c>
      <c r="I41" s="83">
        <v>4</v>
      </c>
      <c r="J41" s="81">
        <v>4</v>
      </c>
      <c r="K41" s="61">
        <v>0</v>
      </c>
      <c r="L41" s="10">
        <f t="shared" si="2"/>
        <v>6</v>
      </c>
      <c r="M41" s="83">
        <v>2</v>
      </c>
      <c r="N41" s="85">
        <v>2</v>
      </c>
      <c r="O41" s="174">
        <v>0</v>
      </c>
      <c r="P41" s="47"/>
      <c r="Q41" s="47"/>
      <c r="R41" s="47"/>
      <c r="S41" s="47"/>
      <c r="T41" s="47"/>
      <c r="U41" s="47"/>
    </row>
    <row r="42" spans="1:21" ht="30" customHeight="1">
      <c r="A42" s="197"/>
      <c r="B42" s="197"/>
      <c r="C42" s="78" t="s">
        <v>112</v>
      </c>
      <c r="D42" s="79">
        <v>1</v>
      </c>
      <c r="E42" s="197"/>
      <c r="F42" s="80">
        <v>3</v>
      </c>
      <c r="G42" s="81">
        <v>3</v>
      </c>
      <c r="H42" s="82">
        <v>1</v>
      </c>
      <c r="I42" s="83">
        <v>2</v>
      </c>
      <c r="J42" s="81">
        <v>2</v>
      </c>
      <c r="K42" s="61">
        <v>0</v>
      </c>
      <c r="L42" s="10">
        <f t="shared" si="2"/>
        <v>5</v>
      </c>
      <c r="M42" s="223">
        <v>3</v>
      </c>
      <c r="N42" s="224">
        <v>1</v>
      </c>
      <c r="O42" s="174">
        <v>0</v>
      </c>
      <c r="P42" s="47"/>
      <c r="Q42" s="47"/>
      <c r="R42" s="47"/>
      <c r="S42" s="47"/>
      <c r="T42" s="47"/>
      <c r="U42" s="47"/>
    </row>
    <row r="43" spans="1:21" ht="30" customHeight="1">
      <c r="A43" s="197"/>
      <c r="B43" s="197"/>
      <c r="C43" s="78" t="s">
        <v>113</v>
      </c>
      <c r="D43" s="79">
        <v>1</v>
      </c>
      <c r="E43" s="197"/>
      <c r="F43" s="80">
        <v>3</v>
      </c>
      <c r="G43" s="81">
        <v>3</v>
      </c>
      <c r="H43" s="82">
        <v>1</v>
      </c>
      <c r="I43" s="83">
        <v>2</v>
      </c>
      <c r="J43" s="81">
        <v>2</v>
      </c>
      <c r="K43" s="61">
        <v>0</v>
      </c>
      <c r="L43" s="10">
        <f t="shared" si="2"/>
        <v>5</v>
      </c>
      <c r="M43" s="194"/>
      <c r="N43" s="225"/>
      <c r="O43" s="174">
        <v>0</v>
      </c>
      <c r="P43" s="47"/>
      <c r="Q43" s="47"/>
      <c r="R43" s="47"/>
      <c r="S43" s="47"/>
      <c r="T43" s="47"/>
      <c r="U43" s="47"/>
    </row>
    <row r="44" spans="1:21" ht="30" customHeight="1">
      <c r="A44" s="197"/>
      <c r="B44" s="197"/>
      <c r="C44" s="78" t="s">
        <v>114</v>
      </c>
      <c r="D44" s="79">
        <v>1</v>
      </c>
      <c r="E44" s="197"/>
      <c r="F44" s="80">
        <v>3</v>
      </c>
      <c r="G44" s="81">
        <v>3</v>
      </c>
      <c r="H44" s="82">
        <v>1</v>
      </c>
      <c r="I44" s="83">
        <v>2</v>
      </c>
      <c r="J44" s="81">
        <v>2</v>
      </c>
      <c r="K44" s="61">
        <v>0</v>
      </c>
      <c r="L44" s="10">
        <f t="shared" si="2"/>
        <v>5</v>
      </c>
      <c r="M44" s="223">
        <v>3</v>
      </c>
      <c r="N44" s="224">
        <v>1</v>
      </c>
      <c r="O44" s="174">
        <v>0</v>
      </c>
      <c r="P44" s="47"/>
      <c r="Q44" s="47"/>
      <c r="R44" s="47"/>
      <c r="S44" s="47"/>
      <c r="T44" s="47"/>
      <c r="U44" s="47"/>
    </row>
    <row r="45" spans="1:21" ht="30" customHeight="1">
      <c r="A45" s="197"/>
      <c r="B45" s="197"/>
      <c r="C45" s="78" t="s">
        <v>115</v>
      </c>
      <c r="D45" s="79">
        <v>1</v>
      </c>
      <c r="E45" s="197"/>
      <c r="F45" s="80">
        <v>3</v>
      </c>
      <c r="G45" s="81">
        <v>3</v>
      </c>
      <c r="H45" s="82">
        <v>1</v>
      </c>
      <c r="I45" s="83">
        <v>2</v>
      </c>
      <c r="J45" s="81">
        <v>2</v>
      </c>
      <c r="K45" s="61">
        <v>0</v>
      </c>
      <c r="L45" s="10">
        <f t="shared" si="2"/>
        <v>5</v>
      </c>
      <c r="M45" s="194"/>
      <c r="N45" s="225"/>
      <c r="O45" s="174">
        <v>0</v>
      </c>
      <c r="P45" s="47"/>
      <c r="Q45" s="47"/>
      <c r="R45" s="47"/>
      <c r="S45" s="47"/>
      <c r="T45" s="47"/>
      <c r="U45" s="47"/>
    </row>
    <row r="46" spans="1:21" ht="30" customHeight="1">
      <c r="A46" s="197"/>
      <c r="B46" s="197"/>
      <c r="C46" s="78" t="s">
        <v>116</v>
      </c>
      <c r="D46" s="79">
        <v>1</v>
      </c>
      <c r="E46" s="197"/>
      <c r="F46" s="80">
        <v>0</v>
      </c>
      <c r="G46" s="81">
        <v>0</v>
      </c>
      <c r="H46" s="82">
        <v>1</v>
      </c>
      <c r="I46" s="83">
        <v>4</v>
      </c>
      <c r="J46" s="81">
        <v>4</v>
      </c>
      <c r="K46" s="61">
        <v>0</v>
      </c>
      <c r="L46" s="10">
        <f t="shared" ref="L46:L48" si="3">J46+G46</f>
        <v>4</v>
      </c>
      <c r="M46" s="83">
        <v>0</v>
      </c>
      <c r="N46" s="85">
        <v>2</v>
      </c>
      <c r="O46" s="174">
        <v>0</v>
      </c>
      <c r="P46" s="47"/>
      <c r="Q46" s="47"/>
      <c r="R46" s="47"/>
      <c r="S46" s="47"/>
      <c r="T46" s="47"/>
      <c r="U46" s="47"/>
    </row>
    <row r="47" spans="1:21" ht="30" customHeight="1">
      <c r="A47" s="197"/>
      <c r="B47" s="197"/>
      <c r="C47" s="78" t="s">
        <v>106</v>
      </c>
      <c r="D47" s="79">
        <v>1</v>
      </c>
      <c r="E47" s="194"/>
      <c r="F47" s="80">
        <v>2</v>
      </c>
      <c r="G47" s="81">
        <v>2</v>
      </c>
      <c r="H47" s="82">
        <v>1</v>
      </c>
      <c r="I47" s="83">
        <v>0</v>
      </c>
      <c r="J47" s="81">
        <v>0</v>
      </c>
      <c r="K47" s="61">
        <v>0</v>
      </c>
      <c r="L47" s="10">
        <f t="shared" si="3"/>
        <v>2</v>
      </c>
      <c r="M47" s="83">
        <v>2</v>
      </c>
      <c r="N47" s="85">
        <v>0</v>
      </c>
      <c r="O47" s="174">
        <v>0</v>
      </c>
      <c r="P47" s="47"/>
      <c r="Q47" s="47"/>
      <c r="R47" s="47"/>
      <c r="S47" s="47"/>
      <c r="T47" s="47"/>
      <c r="U47" s="47"/>
    </row>
    <row r="48" spans="1:21" ht="30" customHeight="1">
      <c r="A48" s="231">
        <v>7</v>
      </c>
      <c r="B48" s="201" t="s">
        <v>64</v>
      </c>
      <c r="C48" s="84" t="s">
        <v>100</v>
      </c>
      <c r="D48" s="85">
        <v>1</v>
      </c>
      <c r="E48" s="223">
        <v>8</v>
      </c>
      <c r="F48" s="86">
        <v>2</v>
      </c>
      <c r="G48" s="76">
        <f t="shared" ref="G48:G49" si="4">D48*F48</f>
        <v>2</v>
      </c>
      <c r="H48" s="87">
        <v>1</v>
      </c>
      <c r="I48" s="88">
        <v>2</v>
      </c>
      <c r="J48" s="76">
        <f t="shared" ref="J48:J49" si="5">H48*I48</f>
        <v>2</v>
      </c>
      <c r="K48" s="61">
        <v>0</v>
      </c>
      <c r="L48" s="10">
        <f t="shared" si="3"/>
        <v>4</v>
      </c>
      <c r="M48" s="88">
        <v>2</v>
      </c>
      <c r="N48" s="85">
        <v>1</v>
      </c>
      <c r="O48" s="174">
        <v>0</v>
      </c>
      <c r="P48" s="47"/>
      <c r="Q48" s="47"/>
      <c r="R48" s="47"/>
      <c r="S48" s="47"/>
      <c r="T48" s="47"/>
      <c r="U48" s="47"/>
    </row>
    <row r="49" spans="1:21" ht="30" customHeight="1">
      <c r="A49" s="197"/>
      <c r="B49" s="197"/>
      <c r="C49" s="89" t="s">
        <v>102</v>
      </c>
      <c r="D49" s="74">
        <v>1</v>
      </c>
      <c r="E49" s="197"/>
      <c r="F49" s="75">
        <v>2</v>
      </c>
      <c r="G49" s="90">
        <f t="shared" si="4"/>
        <v>2</v>
      </c>
      <c r="H49" s="77">
        <v>1</v>
      </c>
      <c r="I49" s="77">
        <v>2</v>
      </c>
      <c r="J49" s="76">
        <f t="shared" si="5"/>
        <v>2</v>
      </c>
      <c r="K49" s="61">
        <v>0</v>
      </c>
      <c r="L49" s="10">
        <f t="shared" ref="L49:L64" si="6">G49+J49</f>
        <v>4</v>
      </c>
      <c r="M49" s="77">
        <v>2</v>
      </c>
      <c r="N49" s="74">
        <v>1</v>
      </c>
      <c r="O49" s="174">
        <v>0</v>
      </c>
      <c r="P49" s="47"/>
      <c r="Q49" s="47"/>
      <c r="R49" s="47"/>
      <c r="S49" s="47"/>
      <c r="T49" s="47"/>
      <c r="U49" s="47"/>
    </row>
    <row r="50" spans="1:21" ht="30" customHeight="1">
      <c r="A50" s="197"/>
      <c r="B50" s="197"/>
      <c r="C50" s="91" t="s">
        <v>101</v>
      </c>
      <c r="D50" s="74">
        <v>1</v>
      </c>
      <c r="E50" s="197"/>
      <c r="F50" s="75">
        <v>2</v>
      </c>
      <c r="G50" s="81">
        <v>2</v>
      </c>
      <c r="H50" s="77">
        <v>1</v>
      </c>
      <c r="I50" s="77">
        <v>2</v>
      </c>
      <c r="J50" s="81">
        <v>2</v>
      </c>
      <c r="K50" s="61">
        <v>0</v>
      </c>
      <c r="L50" s="10">
        <f t="shared" si="6"/>
        <v>4</v>
      </c>
      <c r="M50" s="77">
        <v>2</v>
      </c>
      <c r="N50" s="74">
        <v>1</v>
      </c>
      <c r="O50" s="174">
        <v>0</v>
      </c>
      <c r="P50" s="47"/>
      <c r="Q50" s="47"/>
      <c r="R50" s="47"/>
      <c r="S50" s="47"/>
      <c r="T50" s="47"/>
      <c r="U50" s="47"/>
    </row>
    <row r="51" spans="1:21" ht="30" customHeight="1">
      <c r="A51" s="197"/>
      <c r="B51" s="197"/>
      <c r="C51" s="89" t="s">
        <v>117</v>
      </c>
      <c r="D51" s="92">
        <v>1</v>
      </c>
      <c r="E51" s="197"/>
      <c r="F51" s="75">
        <v>0</v>
      </c>
      <c r="G51" s="76">
        <f t="shared" ref="G51:G56" si="7">D51*F51</f>
        <v>0</v>
      </c>
      <c r="H51" s="77">
        <v>1</v>
      </c>
      <c r="I51" s="77">
        <v>4</v>
      </c>
      <c r="J51" s="76">
        <f t="shared" ref="J51:J56" si="8">H51*I51</f>
        <v>4</v>
      </c>
      <c r="K51" s="61">
        <v>0</v>
      </c>
      <c r="L51" s="10">
        <f t="shared" si="6"/>
        <v>4</v>
      </c>
      <c r="M51" s="77">
        <v>0</v>
      </c>
      <c r="N51" s="74">
        <v>2</v>
      </c>
      <c r="O51" s="174">
        <v>0</v>
      </c>
      <c r="P51" s="47"/>
      <c r="Q51" s="47"/>
      <c r="R51" s="47"/>
      <c r="S51" s="47"/>
      <c r="T51" s="47"/>
      <c r="U51" s="47"/>
    </row>
    <row r="52" spans="1:21" ht="30" customHeight="1">
      <c r="A52" s="197"/>
      <c r="B52" s="197"/>
      <c r="C52" s="65" t="s">
        <v>104</v>
      </c>
      <c r="D52" s="66">
        <v>1</v>
      </c>
      <c r="E52" s="197"/>
      <c r="F52" s="69">
        <v>2</v>
      </c>
      <c r="G52" s="93">
        <f t="shared" si="7"/>
        <v>2</v>
      </c>
      <c r="H52" s="69">
        <v>1</v>
      </c>
      <c r="I52" s="69">
        <v>0</v>
      </c>
      <c r="J52" s="68">
        <f t="shared" si="8"/>
        <v>0</v>
      </c>
      <c r="K52" s="61">
        <v>0</v>
      </c>
      <c r="L52" s="10">
        <f t="shared" si="6"/>
        <v>2</v>
      </c>
      <c r="M52" s="94">
        <v>2</v>
      </c>
      <c r="N52" s="161">
        <v>0</v>
      </c>
      <c r="O52" s="174">
        <v>0</v>
      </c>
      <c r="P52" s="47"/>
      <c r="Q52" s="47"/>
      <c r="R52" s="47"/>
      <c r="S52" s="47"/>
      <c r="T52" s="47"/>
      <c r="U52" s="47"/>
    </row>
    <row r="53" spans="1:21" ht="30" customHeight="1">
      <c r="A53" s="197"/>
      <c r="B53" s="197"/>
      <c r="C53" s="65" t="s">
        <v>108</v>
      </c>
      <c r="D53" s="74">
        <v>1</v>
      </c>
      <c r="E53" s="197"/>
      <c r="F53" s="75">
        <v>2</v>
      </c>
      <c r="G53" s="21">
        <f t="shared" si="7"/>
        <v>2</v>
      </c>
      <c r="H53" s="77">
        <v>1</v>
      </c>
      <c r="I53" s="77">
        <v>0</v>
      </c>
      <c r="J53" s="76">
        <f t="shared" si="8"/>
        <v>0</v>
      </c>
      <c r="K53" s="61">
        <v>0</v>
      </c>
      <c r="L53" s="10">
        <f t="shared" si="6"/>
        <v>2</v>
      </c>
      <c r="M53" s="77">
        <v>2</v>
      </c>
      <c r="N53" s="74">
        <v>0</v>
      </c>
      <c r="O53" s="174">
        <v>0</v>
      </c>
      <c r="P53" s="47"/>
      <c r="Q53" s="47"/>
      <c r="R53" s="47"/>
      <c r="S53" s="47"/>
      <c r="T53" s="47"/>
      <c r="U53" s="47"/>
    </row>
    <row r="54" spans="1:21" ht="30" customHeight="1">
      <c r="A54" s="197"/>
      <c r="B54" s="197"/>
      <c r="C54" s="65" t="s">
        <v>106</v>
      </c>
      <c r="D54" s="74">
        <v>1</v>
      </c>
      <c r="E54" s="197"/>
      <c r="F54" s="75">
        <v>2</v>
      </c>
      <c r="G54" s="21">
        <f t="shared" si="7"/>
        <v>2</v>
      </c>
      <c r="H54" s="77">
        <v>1</v>
      </c>
      <c r="I54" s="77">
        <v>0</v>
      </c>
      <c r="J54" s="76">
        <f t="shared" si="8"/>
        <v>0</v>
      </c>
      <c r="K54" s="61">
        <v>0</v>
      </c>
      <c r="L54" s="10">
        <f t="shared" si="6"/>
        <v>2</v>
      </c>
      <c r="M54" s="77">
        <v>2</v>
      </c>
      <c r="N54" s="74">
        <v>0</v>
      </c>
      <c r="O54" s="174">
        <v>0</v>
      </c>
      <c r="P54" s="47"/>
      <c r="Q54" s="47"/>
      <c r="R54" s="47"/>
      <c r="S54" s="47"/>
      <c r="T54" s="47"/>
      <c r="U54" s="47"/>
    </row>
    <row r="55" spans="1:21" ht="30" customHeight="1">
      <c r="A55" s="197"/>
      <c r="B55" s="197"/>
      <c r="C55" s="65" t="s">
        <v>107</v>
      </c>
      <c r="D55" s="74">
        <v>1</v>
      </c>
      <c r="E55" s="197"/>
      <c r="F55" s="75">
        <v>2</v>
      </c>
      <c r="G55" s="21">
        <f t="shared" si="7"/>
        <v>2</v>
      </c>
      <c r="H55" s="77">
        <v>1</v>
      </c>
      <c r="I55" s="77">
        <v>0</v>
      </c>
      <c r="J55" s="76">
        <f t="shared" si="8"/>
        <v>0</v>
      </c>
      <c r="K55" s="61">
        <v>0</v>
      </c>
      <c r="L55" s="10">
        <f t="shared" si="6"/>
        <v>2</v>
      </c>
      <c r="M55" s="77">
        <v>2</v>
      </c>
      <c r="N55" s="74">
        <v>0</v>
      </c>
      <c r="O55" s="174">
        <v>0</v>
      </c>
      <c r="P55" s="47"/>
      <c r="Q55" s="47"/>
      <c r="R55" s="47"/>
      <c r="S55" s="47"/>
      <c r="T55" s="47"/>
      <c r="U55" s="47"/>
    </row>
    <row r="56" spans="1:21" ht="30" customHeight="1">
      <c r="A56" s="194"/>
      <c r="B56" s="194"/>
      <c r="C56" s="65" t="s">
        <v>118</v>
      </c>
      <c r="D56" s="74">
        <v>1</v>
      </c>
      <c r="E56" s="194"/>
      <c r="F56" s="75">
        <v>2</v>
      </c>
      <c r="G56" s="21">
        <f t="shared" si="7"/>
        <v>2</v>
      </c>
      <c r="H56" s="77">
        <v>1</v>
      </c>
      <c r="I56" s="77">
        <v>0</v>
      </c>
      <c r="J56" s="76">
        <f t="shared" si="8"/>
        <v>0</v>
      </c>
      <c r="K56" s="61">
        <v>0</v>
      </c>
      <c r="L56" s="10">
        <f t="shared" si="6"/>
        <v>2</v>
      </c>
      <c r="M56" s="77">
        <v>2</v>
      </c>
      <c r="N56" s="74">
        <v>0</v>
      </c>
      <c r="O56" s="174">
        <v>0</v>
      </c>
      <c r="P56" s="47"/>
      <c r="Q56" s="47"/>
      <c r="R56" s="47"/>
      <c r="S56" s="47"/>
      <c r="T56" s="47"/>
      <c r="U56" s="47"/>
    </row>
    <row r="57" spans="1:21" ht="19.5" customHeight="1">
      <c r="A57" s="221">
        <v>8</v>
      </c>
      <c r="B57" s="222" t="s">
        <v>66</v>
      </c>
      <c r="C57" s="78" t="s">
        <v>109</v>
      </c>
      <c r="D57" s="95">
        <v>1</v>
      </c>
      <c r="E57" s="223">
        <v>4</v>
      </c>
      <c r="F57" s="80">
        <v>2</v>
      </c>
      <c r="G57" s="81">
        <v>2</v>
      </c>
      <c r="H57" s="82">
        <v>1</v>
      </c>
      <c r="I57" s="83">
        <v>2</v>
      </c>
      <c r="J57" s="81">
        <v>2</v>
      </c>
      <c r="K57" s="61">
        <v>0</v>
      </c>
      <c r="L57" s="10">
        <f t="shared" si="6"/>
        <v>4</v>
      </c>
      <c r="M57" s="83">
        <v>2</v>
      </c>
      <c r="N57" s="85">
        <v>1</v>
      </c>
      <c r="O57" s="174">
        <v>0</v>
      </c>
      <c r="P57" s="47"/>
      <c r="Q57" s="47"/>
      <c r="R57" s="47"/>
      <c r="S57" s="47"/>
      <c r="T57" s="47"/>
      <c r="U57" s="47"/>
    </row>
    <row r="58" spans="1:21" ht="19.5" customHeight="1">
      <c r="A58" s="197"/>
      <c r="B58" s="197"/>
      <c r="C58" s="96" t="s">
        <v>119</v>
      </c>
      <c r="D58" s="95">
        <v>1</v>
      </c>
      <c r="E58" s="197"/>
      <c r="F58" s="80">
        <v>2</v>
      </c>
      <c r="G58" s="81">
        <v>2</v>
      </c>
      <c r="H58" s="82">
        <v>1</v>
      </c>
      <c r="I58" s="83">
        <v>2</v>
      </c>
      <c r="J58" s="81">
        <v>2</v>
      </c>
      <c r="K58" s="61">
        <v>0</v>
      </c>
      <c r="L58" s="10">
        <f t="shared" si="6"/>
        <v>4</v>
      </c>
      <c r="M58" s="83">
        <v>2</v>
      </c>
      <c r="N58" s="85">
        <v>1</v>
      </c>
      <c r="O58" s="174">
        <v>0</v>
      </c>
      <c r="P58" s="47"/>
      <c r="Q58" s="47"/>
      <c r="R58" s="47"/>
      <c r="S58" s="47"/>
      <c r="T58" s="47"/>
      <c r="U58" s="47"/>
    </row>
    <row r="59" spans="1:21" ht="19.5" customHeight="1">
      <c r="A59" s="197"/>
      <c r="B59" s="197"/>
      <c r="C59" s="78" t="s">
        <v>110</v>
      </c>
      <c r="D59" s="79">
        <v>1</v>
      </c>
      <c r="E59" s="197"/>
      <c r="F59" s="80">
        <v>2</v>
      </c>
      <c r="G59" s="81">
        <v>2</v>
      </c>
      <c r="H59" s="82">
        <v>1</v>
      </c>
      <c r="I59" s="83">
        <v>2</v>
      </c>
      <c r="J59" s="81">
        <v>2</v>
      </c>
      <c r="K59" s="61">
        <v>0</v>
      </c>
      <c r="L59" s="10">
        <f t="shared" si="6"/>
        <v>4</v>
      </c>
      <c r="M59" s="83">
        <v>2</v>
      </c>
      <c r="N59" s="85">
        <v>1</v>
      </c>
      <c r="O59" s="174">
        <v>0</v>
      </c>
      <c r="P59" s="47"/>
      <c r="Q59" s="47"/>
      <c r="R59" s="47"/>
      <c r="S59" s="47"/>
      <c r="T59" s="47"/>
      <c r="U59" s="47"/>
    </row>
    <row r="60" spans="1:21" ht="31.5">
      <c r="A60" s="197"/>
      <c r="B60" s="197"/>
      <c r="C60" s="78" t="s">
        <v>120</v>
      </c>
      <c r="D60" s="95">
        <v>1</v>
      </c>
      <c r="E60" s="197"/>
      <c r="F60" s="80">
        <v>3</v>
      </c>
      <c r="G60" s="81">
        <v>3</v>
      </c>
      <c r="H60" s="82">
        <v>1</v>
      </c>
      <c r="I60" s="83">
        <v>2</v>
      </c>
      <c r="J60" s="81">
        <v>2</v>
      </c>
      <c r="K60" s="61">
        <v>0</v>
      </c>
      <c r="L60" s="10">
        <f t="shared" si="6"/>
        <v>5</v>
      </c>
      <c r="M60" s="223">
        <v>3</v>
      </c>
      <c r="N60" s="224">
        <v>1</v>
      </c>
      <c r="O60" s="174">
        <v>0</v>
      </c>
      <c r="P60" s="47"/>
      <c r="Q60" s="47"/>
      <c r="R60" s="47"/>
      <c r="S60" s="47"/>
      <c r="T60" s="47"/>
      <c r="U60" s="47"/>
    </row>
    <row r="61" spans="1:21" ht="19.5" customHeight="1">
      <c r="A61" s="197"/>
      <c r="B61" s="197"/>
      <c r="C61" s="78" t="s">
        <v>121</v>
      </c>
      <c r="D61" s="79">
        <v>1</v>
      </c>
      <c r="E61" s="197"/>
      <c r="F61" s="80">
        <v>3</v>
      </c>
      <c r="G61" s="81">
        <v>3</v>
      </c>
      <c r="H61" s="82">
        <v>1</v>
      </c>
      <c r="I61" s="83">
        <v>2</v>
      </c>
      <c r="J61" s="81">
        <v>2</v>
      </c>
      <c r="K61" s="61">
        <v>0</v>
      </c>
      <c r="L61" s="10">
        <f t="shared" si="6"/>
        <v>5</v>
      </c>
      <c r="M61" s="194"/>
      <c r="N61" s="225"/>
      <c r="O61" s="174">
        <v>0</v>
      </c>
      <c r="P61" s="47"/>
      <c r="Q61" s="47"/>
      <c r="R61" s="47"/>
      <c r="S61" s="47"/>
      <c r="T61" s="47"/>
      <c r="U61" s="47"/>
    </row>
    <row r="62" spans="1:21" ht="19.5" customHeight="1">
      <c r="A62" s="197"/>
      <c r="B62" s="197"/>
      <c r="C62" s="78" t="s">
        <v>122</v>
      </c>
      <c r="D62" s="95">
        <v>1</v>
      </c>
      <c r="E62" s="197"/>
      <c r="F62" s="80">
        <v>3</v>
      </c>
      <c r="G62" s="81">
        <v>3</v>
      </c>
      <c r="H62" s="82">
        <v>1</v>
      </c>
      <c r="I62" s="83">
        <v>2</v>
      </c>
      <c r="J62" s="81">
        <v>2</v>
      </c>
      <c r="K62" s="61">
        <v>0</v>
      </c>
      <c r="L62" s="10">
        <f t="shared" si="6"/>
        <v>5</v>
      </c>
      <c r="M62" s="223">
        <v>3</v>
      </c>
      <c r="N62" s="224">
        <v>1</v>
      </c>
      <c r="O62" s="174">
        <v>0</v>
      </c>
      <c r="P62" s="47"/>
      <c r="Q62" s="47"/>
      <c r="R62" s="47"/>
      <c r="S62" s="47"/>
      <c r="T62" s="47"/>
      <c r="U62" s="47"/>
    </row>
    <row r="63" spans="1:21" ht="19.5" customHeight="1">
      <c r="A63" s="197"/>
      <c r="B63" s="197"/>
      <c r="C63" s="78" t="s">
        <v>123</v>
      </c>
      <c r="D63" s="79">
        <v>1</v>
      </c>
      <c r="E63" s="197"/>
      <c r="F63" s="80">
        <v>3</v>
      </c>
      <c r="G63" s="81">
        <v>3</v>
      </c>
      <c r="H63" s="82">
        <v>1</v>
      </c>
      <c r="I63" s="83">
        <v>2</v>
      </c>
      <c r="J63" s="81">
        <v>2</v>
      </c>
      <c r="K63" s="61">
        <v>0</v>
      </c>
      <c r="L63" s="10">
        <f t="shared" si="6"/>
        <v>5</v>
      </c>
      <c r="M63" s="194"/>
      <c r="N63" s="225"/>
      <c r="O63" s="174">
        <v>0</v>
      </c>
      <c r="P63" s="47"/>
      <c r="Q63" s="47"/>
      <c r="R63" s="47"/>
      <c r="S63" s="47"/>
      <c r="T63" s="47"/>
      <c r="U63" s="47"/>
    </row>
    <row r="64" spans="1:21" ht="19.5" customHeight="1">
      <c r="A64" s="197"/>
      <c r="B64" s="197"/>
      <c r="C64" s="96" t="s">
        <v>124</v>
      </c>
      <c r="D64" s="95">
        <v>1</v>
      </c>
      <c r="E64" s="197"/>
      <c r="F64" s="75">
        <v>0</v>
      </c>
      <c r="G64" s="76">
        <f>D64*F64</f>
        <v>0</v>
      </c>
      <c r="H64" s="77">
        <v>1</v>
      </c>
      <c r="I64" s="77">
        <v>4</v>
      </c>
      <c r="J64" s="76">
        <f>H64*I64</f>
        <v>4</v>
      </c>
      <c r="K64" s="61">
        <v>0</v>
      </c>
      <c r="L64" s="10">
        <f t="shared" si="6"/>
        <v>4</v>
      </c>
      <c r="M64" s="77">
        <v>0</v>
      </c>
      <c r="N64" s="74">
        <v>2</v>
      </c>
      <c r="O64" s="174">
        <v>0</v>
      </c>
      <c r="P64" s="47"/>
      <c r="Q64" s="47"/>
      <c r="R64" s="47"/>
      <c r="S64" s="47"/>
      <c r="T64" s="47"/>
      <c r="U64" s="47"/>
    </row>
    <row r="65" spans="1:22" ht="19.5" customHeight="1">
      <c r="A65" s="194"/>
      <c r="B65" s="194"/>
      <c r="C65" s="91" t="s">
        <v>106</v>
      </c>
      <c r="D65" s="74">
        <v>1</v>
      </c>
      <c r="E65" s="194"/>
      <c r="F65" s="66">
        <v>2</v>
      </c>
      <c r="G65" s="68">
        <v>2</v>
      </c>
      <c r="H65" s="69">
        <v>1</v>
      </c>
      <c r="I65" s="94">
        <v>0</v>
      </c>
      <c r="J65" s="68">
        <v>0</v>
      </c>
      <c r="K65" s="61">
        <v>0</v>
      </c>
      <c r="L65" s="151">
        <f>J65+G65</f>
        <v>2</v>
      </c>
      <c r="M65" s="83">
        <v>2</v>
      </c>
      <c r="N65" s="85">
        <v>0</v>
      </c>
      <c r="O65" s="174">
        <v>0</v>
      </c>
      <c r="P65" s="47"/>
      <c r="Q65" s="47"/>
      <c r="R65" s="47"/>
      <c r="S65" s="47"/>
      <c r="T65" s="47"/>
      <c r="U65" s="47"/>
    </row>
    <row r="66" spans="1:22" s="127" customFormat="1" ht="19.5" customHeight="1">
      <c r="A66" s="221">
        <v>8</v>
      </c>
      <c r="B66" s="226" t="s">
        <v>165</v>
      </c>
      <c r="C66" s="147" t="s">
        <v>198</v>
      </c>
      <c r="D66" s="75">
        <v>1</v>
      </c>
      <c r="E66" s="224">
        <v>30</v>
      </c>
      <c r="F66" s="132">
        <v>4</v>
      </c>
      <c r="G66" s="152">
        <f>+F66</f>
        <v>4</v>
      </c>
      <c r="H66" s="153">
        <v>0</v>
      </c>
      <c r="I66" s="153">
        <v>0</v>
      </c>
      <c r="J66" s="152">
        <v>0</v>
      </c>
      <c r="K66" s="61">
        <v>0</v>
      </c>
      <c r="L66" s="154">
        <f>+G66+J66</f>
        <v>4</v>
      </c>
      <c r="M66" s="132">
        <v>4</v>
      </c>
      <c r="N66" s="162">
        <v>0</v>
      </c>
      <c r="O66" s="174">
        <v>0</v>
      </c>
      <c r="P66" s="47"/>
      <c r="Q66" s="47"/>
      <c r="R66" s="47"/>
      <c r="S66" s="47"/>
      <c r="T66" s="47"/>
      <c r="U66" s="47"/>
    </row>
    <row r="67" spans="1:22" s="127" customFormat="1" ht="19.5" customHeight="1">
      <c r="A67" s="197"/>
      <c r="B67" s="227"/>
      <c r="C67" s="125" t="s">
        <v>175</v>
      </c>
      <c r="D67" s="75">
        <v>1</v>
      </c>
      <c r="E67" s="229"/>
      <c r="F67" s="132">
        <v>2</v>
      </c>
      <c r="G67" s="152">
        <f t="shared" ref="G67:G72" si="9">+F67</f>
        <v>2</v>
      </c>
      <c r="H67" s="153">
        <v>0</v>
      </c>
      <c r="I67" s="153">
        <v>2</v>
      </c>
      <c r="J67" s="132">
        <v>2</v>
      </c>
      <c r="K67" s="61">
        <v>0</v>
      </c>
      <c r="L67" s="154">
        <f>+G67+J67</f>
        <v>4</v>
      </c>
      <c r="M67" s="132">
        <v>2</v>
      </c>
      <c r="N67" s="162">
        <v>1</v>
      </c>
      <c r="O67" s="174">
        <v>0</v>
      </c>
      <c r="P67" s="47"/>
      <c r="Q67" s="47"/>
      <c r="R67" s="47"/>
      <c r="S67" s="47"/>
      <c r="T67" s="47"/>
      <c r="U67" s="47"/>
    </row>
    <row r="68" spans="1:22" s="127" customFormat="1" ht="19.5" customHeight="1">
      <c r="A68" s="197"/>
      <c r="B68" s="227"/>
      <c r="C68" s="125" t="s">
        <v>67</v>
      </c>
      <c r="D68" s="86">
        <v>1</v>
      </c>
      <c r="E68" s="229"/>
      <c r="F68" s="132">
        <v>3</v>
      </c>
      <c r="G68" s="152">
        <f t="shared" si="9"/>
        <v>3</v>
      </c>
      <c r="H68" s="153">
        <v>0</v>
      </c>
      <c r="I68" s="153">
        <v>0</v>
      </c>
      <c r="J68" s="152">
        <v>0</v>
      </c>
      <c r="K68" s="61">
        <v>0</v>
      </c>
      <c r="L68" s="154">
        <f>+G68+J68</f>
        <v>3</v>
      </c>
      <c r="M68" s="132">
        <v>3</v>
      </c>
      <c r="N68" s="162">
        <v>0</v>
      </c>
      <c r="O68" s="174">
        <v>0</v>
      </c>
      <c r="P68" s="47"/>
      <c r="Q68" s="47"/>
      <c r="R68" s="47"/>
      <c r="S68" s="47"/>
      <c r="T68" s="47"/>
      <c r="U68" s="47"/>
    </row>
    <row r="69" spans="1:22" s="127" customFormat="1" ht="15.75">
      <c r="A69" s="197"/>
      <c r="B69" s="227"/>
      <c r="C69" s="148" t="s">
        <v>176</v>
      </c>
      <c r="D69" s="75">
        <v>1</v>
      </c>
      <c r="E69" s="229"/>
      <c r="F69" s="132">
        <v>3</v>
      </c>
      <c r="G69" s="152">
        <f t="shared" si="9"/>
        <v>3</v>
      </c>
      <c r="H69" s="153">
        <v>2</v>
      </c>
      <c r="I69" s="132">
        <v>2</v>
      </c>
      <c r="J69" s="152">
        <v>2</v>
      </c>
      <c r="K69" s="61">
        <v>0</v>
      </c>
      <c r="L69" s="154">
        <f>+G69+J69</f>
        <v>5</v>
      </c>
      <c r="M69" s="132">
        <v>3</v>
      </c>
      <c r="N69" s="163">
        <v>1</v>
      </c>
      <c r="O69" s="174">
        <v>0</v>
      </c>
      <c r="P69" s="47"/>
      <c r="Q69" s="47"/>
      <c r="R69" s="47"/>
      <c r="S69" s="47"/>
      <c r="T69" s="47"/>
      <c r="U69" s="47"/>
    </row>
    <row r="70" spans="1:22" s="127" customFormat="1" ht="19.5" customHeight="1">
      <c r="A70" s="197"/>
      <c r="B70" s="227"/>
      <c r="C70" s="148" t="s">
        <v>177</v>
      </c>
      <c r="D70" s="86">
        <v>1</v>
      </c>
      <c r="E70" s="229"/>
      <c r="F70" s="132">
        <v>3</v>
      </c>
      <c r="G70" s="152">
        <f t="shared" si="9"/>
        <v>3</v>
      </c>
      <c r="H70" s="153">
        <v>2</v>
      </c>
      <c r="I70" s="153">
        <v>2</v>
      </c>
      <c r="J70" s="152">
        <v>4</v>
      </c>
      <c r="K70" s="61">
        <v>0</v>
      </c>
      <c r="L70" s="154">
        <f>+G70+J70</f>
        <v>7</v>
      </c>
      <c r="M70" s="132">
        <v>3</v>
      </c>
      <c r="N70" s="162">
        <v>1</v>
      </c>
      <c r="O70" s="174">
        <v>0</v>
      </c>
      <c r="P70" s="47"/>
      <c r="Q70" s="47"/>
      <c r="R70" s="47"/>
      <c r="S70" s="47"/>
      <c r="T70" s="47"/>
      <c r="U70" s="47"/>
    </row>
    <row r="71" spans="1:22" s="127" customFormat="1" ht="30">
      <c r="A71" s="202"/>
      <c r="B71" s="227"/>
      <c r="C71" s="148" t="s">
        <v>178</v>
      </c>
      <c r="D71" s="92">
        <v>1</v>
      </c>
      <c r="E71" s="229"/>
      <c r="F71" s="132" t="s">
        <v>169</v>
      </c>
      <c r="G71" s="152" t="str">
        <f t="shared" si="9"/>
        <v>-</v>
      </c>
      <c r="H71" s="153">
        <v>2</v>
      </c>
      <c r="I71" s="132">
        <v>4</v>
      </c>
      <c r="J71" s="152">
        <f>+H71*I71</f>
        <v>8</v>
      </c>
      <c r="K71" s="61">
        <v>0</v>
      </c>
      <c r="L71" s="154">
        <f>+J71</f>
        <v>8</v>
      </c>
      <c r="M71" s="132" t="s">
        <v>169</v>
      </c>
      <c r="N71" s="163">
        <v>2</v>
      </c>
      <c r="O71" s="174">
        <v>0</v>
      </c>
      <c r="P71" s="47"/>
      <c r="Q71" s="47"/>
      <c r="R71" s="47"/>
      <c r="S71" s="47"/>
      <c r="T71" s="47"/>
      <c r="U71" s="47"/>
    </row>
    <row r="72" spans="1:22" s="127" customFormat="1" ht="19.5" customHeight="1">
      <c r="A72" s="194"/>
      <c r="B72" s="228"/>
      <c r="C72" s="150" t="s">
        <v>179</v>
      </c>
      <c r="D72" s="92">
        <v>1</v>
      </c>
      <c r="E72" s="225"/>
      <c r="F72" s="132" t="s">
        <v>169</v>
      </c>
      <c r="G72" s="152" t="str">
        <f t="shared" si="9"/>
        <v>-</v>
      </c>
      <c r="H72" s="153">
        <v>2</v>
      </c>
      <c r="I72" s="132">
        <v>4</v>
      </c>
      <c r="J72" s="152">
        <f>+H72*I72</f>
        <v>8</v>
      </c>
      <c r="K72" s="61">
        <v>0</v>
      </c>
      <c r="L72" s="154">
        <f>+J72</f>
        <v>8</v>
      </c>
      <c r="M72" s="132" t="s">
        <v>169</v>
      </c>
      <c r="N72" s="163">
        <v>2</v>
      </c>
      <c r="O72" s="174">
        <v>0</v>
      </c>
      <c r="P72" s="47"/>
      <c r="Q72" s="47"/>
      <c r="R72" s="47"/>
      <c r="S72" s="47"/>
      <c r="T72" s="47"/>
      <c r="U72" s="47"/>
    </row>
    <row r="73" spans="1:22" s="127" customFormat="1" ht="15.75">
      <c r="A73" s="176">
        <v>10</v>
      </c>
      <c r="B73" s="177" t="s">
        <v>181</v>
      </c>
      <c r="C73" s="147" t="s">
        <v>186</v>
      </c>
      <c r="D73" s="133">
        <v>1</v>
      </c>
      <c r="E73" s="176">
        <v>15</v>
      </c>
      <c r="F73" s="132">
        <v>3</v>
      </c>
      <c r="G73" s="132">
        <f>+F73</f>
        <v>3</v>
      </c>
      <c r="H73" s="133">
        <v>1</v>
      </c>
      <c r="I73" s="133">
        <v>4</v>
      </c>
      <c r="J73" s="133">
        <f t="shared" ref="J73:J81" si="10">+I73</f>
        <v>4</v>
      </c>
      <c r="K73" s="133">
        <v>1</v>
      </c>
      <c r="L73" s="134">
        <f>+K73+J73+G73</f>
        <v>8</v>
      </c>
      <c r="M73" s="132">
        <v>3</v>
      </c>
      <c r="N73" s="133">
        <v>2</v>
      </c>
      <c r="O73" s="133">
        <v>1</v>
      </c>
      <c r="P73" s="2"/>
      <c r="Q73" s="2"/>
      <c r="R73" s="2"/>
      <c r="S73" s="2"/>
      <c r="T73" s="2"/>
      <c r="U73" s="2"/>
      <c r="V73" s="2"/>
    </row>
    <row r="74" spans="1:22" s="127" customFormat="1" ht="15.75">
      <c r="A74" s="176"/>
      <c r="B74" s="178"/>
      <c r="C74" s="149" t="s">
        <v>187</v>
      </c>
      <c r="D74" s="133">
        <v>1</v>
      </c>
      <c r="E74" s="176"/>
      <c r="F74" s="132">
        <v>3</v>
      </c>
      <c r="G74" s="132">
        <f t="shared" ref="G74:G75" si="11">+F74</f>
        <v>3</v>
      </c>
      <c r="H74" s="133">
        <v>1</v>
      </c>
      <c r="I74" s="133">
        <v>4</v>
      </c>
      <c r="J74" s="133">
        <f t="shared" si="10"/>
        <v>4</v>
      </c>
      <c r="K74" s="133">
        <v>1</v>
      </c>
      <c r="L74" s="134">
        <f>+K74+J74+G74</f>
        <v>8</v>
      </c>
      <c r="M74" s="132">
        <v>3</v>
      </c>
      <c r="N74" s="133">
        <v>2</v>
      </c>
      <c r="O74" s="133">
        <v>1</v>
      </c>
      <c r="P74" s="2"/>
      <c r="Q74" s="2"/>
      <c r="R74" s="2"/>
      <c r="S74" s="2"/>
      <c r="T74" s="2"/>
      <c r="U74" s="2"/>
      <c r="V74" s="2"/>
    </row>
    <row r="75" spans="1:22" s="127" customFormat="1" ht="15.75">
      <c r="A75" s="176"/>
      <c r="B75" s="178"/>
      <c r="C75" s="125" t="s">
        <v>188</v>
      </c>
      <c r="D75" s="133">
        <v>1</v>
      </c>
      <c r="E75" s="176"/>
      <c r="F75" s="132">
        <v>3</v>
      </c>
      <c r="G75" s="132">
        <f t="shared" si="11"/>
        <v>3</v>
      </c>
      <c r="H75" s="133">
        <v>1</v>
      </c>
      <c r="I75" s="133">
        <v>2</v>
      </c>
      <c r="J75" s="133">
        <f t="shared" si="10"/>
        <v>2</v>
      </c>
      <c r="K75" s="133">
        <v>1</v>
      </c>
      <c r="L75" s="134">
        <f>+K75+J75+G75</f>
        <v>6</v>
      </c>
      <c r="M75" s="132">
        <v>3</v>
      </c>
      <c r="N75" s="133">
        <v>1</v>
      </c>
      <c r="O75" s="133">
        <v>1</v>
      </c>
      <c r="P75" s="2"/>
      <c r="Q75" s="2"/>
      <c r="R75" s="2"/>
      <c r="S75" s="2"/>
      <c r="T75" s="2"/>
      <c r="U75" s="2"/>
      <c r="V75" s="2"/>
    </row>
    <row r="76" spans="1:22" s="127" customFormat="1" ht="15.75">
      <c r="A76" s="176"/>
      <c r="B76" s="178"/>
      <c r="C76" s="148" t="s">
        <v>189</v>
      </c>
      <c r="D76" s="133">
        <v>1</v>
      </c>
      <c r="E76" s="176"/>
      <c r="F76" s="132">
        <v>0</v>
      </c>
      <c r="G76" s="132">
        <v>0</v>
      </c>
      <c r="H76" s="133">
        <v>1</v>
      </c>
      <c r="I76" s="133">
        <v>6</v>
      </c>
      <c r="J76" s="133">
        <f t="shared" si="10"/>
        <v>6</v>
      </c>
      <c r="K76" s="133">
        <v>0</v>
      </c>
      <c r="L76" s="134">
        <f>+K76+J76+G76</f>
        <v>6</v>
      </c>
      <c r="M76" s="132">
        <v>0</v>
      </c>
      <c r="N76" s="133">
        <v>3</v>
      </c>
      <c r="O76" s="133">
        <v>0</v>
      </c>
      <c r="P76" s="2"/>
      <c r="Q76" s="2"/>
      <c r="R76" s="2"/>
      <c r="S76" s="2"/>
      <c r="T76" s="2"/>
      <c r="U76" s="2"/>
      <c r="V76" s="2"/>
    </row>
    <row r="77" spans="1:22" s="127" customFormat="1" ht="30">
      <c r="A77" s="179">
        <v>11</v>
      </c>
      <c r="B77" s="177" t="s">
        <v>180</v>
      </c>
      <c r="C77" s="169" t="s">
        <v>193</v>
      </c>
      <c r="D77" s="133">
        <v>1</v>
      </c>
      <c r="E77" s="216">
        <v>15</v>
      </c>
      <c r="F77" s="171">
        <v>3</v>
      </c>
      <c r="G77" s="171">
        <f>+F77</f>
        <v>3</v>
      </c>
      <c r="H77" s="171">
        <v>1</v>
      </c>
      <c r="I77" s="171">
        <v>2</v>
      </c>
      <c r="J77" s="171">
        <f t="shared" si="10"/>
        <v>2</v>
      </c>
      <c r="K77" s="171">
        <v>1</v>
      </c>
      <c r="L77" s="134">
        <f t="shared" ref="L77:L81" si="12">+K77+J77+G77</f>
        <v>6</v>
      </c>
      <c r="M77" s="171">
        <v>3</v>
      </c>
      <c r="N77" s="171">
        <v>1</v>
      </c>
      <c r="O77" s="171">
        <v>1</v>
      </c>
      <c r="P77" s="2"/>
      <c r="Q77" s="2"/>
      <c r="R77" s="2"/>
      <c r="S77" s="2"/>
      <c r="T77" s="2"/>
      <c r="U77" s="2"/>
      <c r="V77" s="2"/>
    </row>
    <row r="78" spans="1:22" s="127" customFormat="1" ht="30">
      <c r="A78" s="180"/>
      <c r="B78" s="178"/>
      <c r="C78" s="169" t="s">
        <v>194</v>
      </c>
      <c r="D78" s="133">
        <v>1</v>
      </c>
      <c r="E78" s="217"/>
      <c r="F78" s="171">
        <v>3</v>
      </c>
      <c r="G78" s="171">
        <f t="shared" ref="G78:G80" si="13">+F78</f>
        <v>3</v>
      </c>
      <c r="H78" s="171">
        <v>1</v>
      </c>
      <c r="I78" s="171">
        <v>2</v>
      </c>
      <c r="J78" s="171">
        <f t="shared" si="10"/>
        <v>2</v>
      </c>
      <c r="K78" s="171">
        <v>0</v>
      </c>
      <c r="L78" s="134">
        <f t="shared" si="12"/>
        <v>5</v>
      </c>
      <c r="M78" s="171">
        <v>3</v>
      </c>
      <c r="N78" s="171">
        <v>1</v>
      </c>
      <c r="O78" s="171">
        <v>0</v>
      </c>
      <c r="P78" s="2"/>
      <c r="Q78" s="2"/>
      <c r="R78" s="2"/>
      <c r="S78" s="2"/>
      <c r="T78" s="2"/>
      <c r="U78" s="2"/>
      <c r="V78" s="2"/>
    </row>
    <row r="79" spans="1:22" s="127" customFormat="1" ht="15.75">
      <c r="A79" s="180"/>
      <c r="B79" s="178"/>
      <c r="C79" s="168" t="s">
        <v>195</v>
      </c>
      <c r="D79" s="133">
        <v>1</v>
      </c>
      <c r="E79" s="217"/>
      <c r="F79" s="171">
        <v>3</v>
      </c>
      <c r="G79" s="171">
        <f t="shared" si="13"/>
        <v>3</v>
      </c>
      <c r="H79" s="171">
        <v>1</v>
      </c>
      <c r="I79" s="171">
        <v>2</v>
      </c>
      <c r="J79" s="171">
        <f t="shared" si="10"/>
        <v>2</v>
      </c>
      <c r="K79" s="171">
        <v>1</v>
      </c>
      <c r="L79" s="134">
        <f t="shared" si="12"/>
        <v>6</v>
      </c>
      <c r="M79" s="171">
        <v>3</v>
      </c>
      <c r="N79" s="171">
        <v>1</v>
      </c>
      <c r="O79" s="171">
        <v>1</v>
      </c>
      <c r="P79" s="2"/>
      <c r="Q79" s="2"/>
      <c r="R79" s="2"/>
      <c r="S79" s="2"/>
      <c r="T79" s="2"/>
      <c r="U79" s="2"/>
      <c r="V79" s="2"/>
    </row>
    <row r="80" spans="1:22" s="127" customFormat="1" ht="45">
      <c r="A80" s="180"/>
      <c r="B80" s="178"/>
      <c r="C80" s="169" t="s">
        <v>196</v>
      </c>
      <c r="D80" s="133">
        <v>1</v>
      </c>
      <c r="E80" s="217"/>
      <c r="F80" s="171">
        <v>3</v>
      </c>
      <c r="G80" s="171">
        <f t="shared" si="13"/>
        <v>3</v>
      </c>
      <c r="H80" s="171">
        <v>1</v>
      </c>
      <c r="I80" s="171">
        <v>2</v>
      </c>
      <c r="J80" s="171">
        <f t="shared" si="10"/>
        <v>2</v>
      </c>
      <c r="K80" s="171">
        <v>1</v>
      </c>
      <c r="L80" s="134">
        <f t="shared" si="12"/>
        <v>6</v>
      </c>
      <c r="M80" s="171">
        <v>3</v>
      </c>
      <c r="N80" s="171">
        <v>1</v>
      </c>
      <c r="O80" s="171">
        <v>1</v>
      </c>
      <c r="P80" s="2"/>
      <c r="Q80" s="2"/>
      <c r="R80" s="2"/>
      <c r="S80" s="2"/>
      <c r="T80" s="2"/>
      <c r="U80" s="2"/>
      <c r="V80" s="2"/>
    </row>
    <row r="81" spans="1:22" s="127" customFormat="1" ht="15.75">
      <c r="A81" s="180"/>
      <c r="B81" s="178"/>
      <c r="C81" s="168" t="s">
        <v>197</v>
      </c>
      <c r="D81" s="170">
        <v>1</v>
      </c>
      <c r="E81" s="218"/>
      <c r="F81" s="171">
        <v>0</v>
      </c>
      <c r="G81" s="171">
        <v>0</v>
      </c>
      <c r="H81" s="171">
        <v>1</v>
      </c>
      <c r="I81" s="171">
        <v>6</v>
      </c>
      <c r="J81" s="171">
        <f t="shared" si="10"/>
        <v>6</v>
      </c>
      <c r="K81" s="171">
        <v>0</v>
      </c>
      <c r="L81" s="134">
        <f t="shared" si="12"/>
        <v>6</v>
      </c>
      <c r="M81" s="171">
        <v>0</v>
      </c>
      <c r="N81" s="171">
        <v>3</v>
      </c>
      <c r="O81" s="171">
        <v>0</v>
      </c>
      <c r="P81" s="2"/>
      <c r="Q81" s="2"/>
      <c r="R81" s="2"/>
      <c r="S81" s="2"/>
      <c r="T81" s="2"/>
      <c r="U81" s="2"/>
      <c r="V81" s="2"/>
    </row>
    <row r="82" spans="1:22" ht="15.75" customHeight="1">
      <c r="A82" s="200"/>
      <c r="B82" s="183"/>
      <c r="C82" s="198" t="s">
        <v>70</v>
      </c>
      <c r="D82" s="199"/>
      <c r="E82" s="167"/>
      <c r="F82" s="142"/>
      <c r="G82" s="146">
        <f>SUM(G14:G65)</f>
        <v>113</v>
      </c>
      <c r="H82" s="142"/>
      <c r="I82" s="142"/>
      <c r="J82" s="146">
        <f>SUM(J14:J65)</f>
        <v>198</v>
      </c>
      <c r="K82" s="146"/>
      <c r="L82" s="146">
        <f>SUM(L14:L66)</f>
        <v>315</v>
      </c>
      <c r="M82" s="146">
        <f>SUM(M14:M65)</f>
        <v>94</v>
      </c>
      <c r="N82" s="164">
        <f>SUM(N14:N65)</f>
        <v>44</v>
      </c>
      <c r="O82" s="175">
        <f>SUM(O14:O81)</f>
        <v>6</v>
      </c>
      <c r="P82" s="47"/>
      <c r="Q82" s="47"/>
      <c r="R82" s="47"/>
      <c r="S82" s="47"/>
      <c r="T82" s="47"/>
      <c r="U82" s="47"/>
    </row>
    <row r="83" spans="1:22" ht="15.75" customHeight="1">
      <c r="A83" s="200" t="s">
        <v>71</v>
      </c>
      <c r="B83" s="185"/>
      <c r="C83" s="185"/>
      <c r="D83" s="185"/>
      <c r="E83" s="185"/>
      <c r="F83" s="185"/>
      <c r="G83" s="41"/>
      <c r="H83" s="184"/>
      <c r="I83" s="185"/>
      <c r="J83" s="41"/>
      <c r="K83" s="158"/>
      <c r="L83" s="21"/>
      <c r="M83" s="219"/>
      <c r="N83" s="220"/>
      <c r="O83" s="165"/>
      <c r="P83" s="47"/>
      <c r="Q83" s="47"/>
      <c r="R83" s="47"/>
      <c r="S83" s="47"/>
      <c r="T83" s="47"/>
      <c r="U83" s="47"/>
    </row>
    <row r="84" spans="1:22" ht="15.75" customHeight="1">
      <c r="A84" s="42"/>
      <c r="B84" s="43" t="s">
        <v>72</v>
      </c>
      <c r="C84" s="44" t="s">
        <v>73</v>
      </c>
      <c r="D84" s="45"/>
      <c r="E84" s="45"/>
      <c r="F84" s="45"/>
      <c r="G84" s="45"/>
      <c r="H84" s="46"/>
      <c r="I84" s="45"/>
      <c r="J84" s="45"/>
      <c r="K84" s="45"/>
      <c r="L84" s="42"/>
      <c r="M84" s="42"/>
      <c r="N84" s="42"/>
      <c r="O84" s="47"/>
      <c r="P84" s="47"/>
      <c r="Q84" s="47"/>
      <c r="R84" s="47"/>
      <c r="S84" s="47"/>
      <c r="T84" s="47"/>
      <c r="U84" s="47"/>
    </row>
    <row r="85" spans="1:22" ht="15.75" customHeight="1">
      <c r="A85" s="42" t="s">
        <v>74</v>
      </c>
      <c r="B85" s="45"/>
      <c r="C85" s="44" t="s">
        <v>75</v>
      </c>
      <c r="D85" s="45"/>
      <c r="E85" s="45"/>
      <c r="F85" s="45"/>
      <c r="G85" s="45"/>
      <c r="H85" s="46"/>
      <c r="I85" s="45"/>
      <c r="J85" s="45"/>
      <c r="K85" s="45"/>
      <c r="L85" s="42"/>
      <c r="M85" s="42"/>
      <c r="N85" s="42"/>
      <c r="O85" s="47"/>
      <c r="P85" s="47"/>
      <c r="Q85" s="47"/>
      <c r="R85" s="47"/>
      <c r="S85" s="47"/>
      <c r="T85" s="47"/>
      <c r="U85" s="47"/>
    </row>
    <row r="86" spans="1:22" s="122" customFormat="1" ht="71.25">
      <c r="C86" s="124" t="s">
        <v>158</v>
      </c>
      <c r="D86" s="124" t="s">
        <v>159</v>
      </c>
      <c r="E86" s="124" t="s">
        <v>160</v>
      </c>
      <c r="F86" s="124" t="s">
        <v>161</v>
      </c>
      <c r="G86" s="124" t="s">
        <v>162</v>
      </c>
      <c r="H86" s="46"/>
      <c r="I86" s="45"/>
      <c r="J86" s="45"/>
      <c r="K86" s="45"/>
      <c r="L86" s="45"/>
      <c r="M86" s="42"/>
      <c r="N86" s="42"/>
      <c r="O86" s="42"/>
      <c r="P86" s="2"/>
      <c r="Q86" s="2"/>
      <c r="R86" s="2"/>
      <c r="S86" s="2"/>
      <c r="T86" s="2"/>
      <c r="U86" s="2"/>
      <c r="V86" s="2"/>
    </row>
    <row r="87" spans="1:22" s="122" customFormat="1" ht="15.75">
      <c r="C87" s="125" t="s">
        <v>163</v>
      </c>
      <c r="D87" s="125">
        <v>6</v>
      </c>
      <c r="E87" s="125">
        <v>0</v>
      </c>
      <c r="F87" s="125">
        <v>0</v>
      </c>
      <c r="G87" s="125">
        <v>0</v>
      </c>
      <c r="H87" s="123"/>
      <c r="I87" s="123"/>
      <c r="J87" s="123"/>
      <c r="K87" s="128"/>
      <c r="L87" s="123"/>
      <c r="M87" s="123"/>
      <c r="N87" s="123"/>
      <c r="O87" s="123"/>
      <c r="P87" s="2"/>
      <c r="Q87" s="2"/>
      <c r="R87" s="2"/>
      <c r="S87" s="2"/>
      <c r="T87" s="2"/>
      <c r="U87" s="2"/>
      <c r="V87" s="2"/>
    </row>
    <row r="88" spans="1:22" s="122" customFormat="1">
      <c r="C88" s="125" t="s">
        <v>164</v>
      </c>
      <c r="D88" s="125">
        <v>14</v>
      </c>
      <c r="E88" s="125">
        <v>0</v>
      </c>
      <c r="F88" s="125">
        <v>0</v>
      </c>
      <c r="G88" s="125">
        <v>0</v>
      </c>
      <c r="H88" s="4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s="122" customFormat="1">
      <c r="C89" s="125" t="s">
        <v>142</v>
      </c>
      <c r="D89" s="125">
        <v>20</v>
      </c>
      <c r="E89" s="125">
        <v>7</v>
      </c>
      <c r="F89" s="125">
        <v>181</v>
      </c>
      <c r="G89" s="125">
        <v>57</v>
      </c>
      <c r="H89" s="48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5.75" customHeight="1">
      <c r="A90" s="42"/>
      <c r="B90" s="45"/>
      <c r="C90" s="172" t="s">
        <v>203</v>
      </c>
      <c r="D90" s="45"/>
      <c r="E90" s="45"/>
      <c r="F90" s="45"/>
      <c r="G90" s="45"/>
      <c r="H90" s="46"/>
      <c r="I90" s="45"/>
      <c r="J90" s="45"/>
      <c r="K90" s="45"/>
      <c r="L90" s="42"/>
      <c r="M90" s="42"/>
      <c r="N90" s="42"/>
      <c r="O90" s="47"/>
      <c r="P90" s="47"/>
      <c r="Q90" s="47"/>
      <c r="R90" s="47"/>
      <c r="S90" s="47"/>
      <c r="T90" s="47"/>
      <c r="U90" s="47"/>
    </row>
    <row r="91" spans="1:22" ht="15.75" customHeight="1">
      <c r="A91" s="52"/>
      <c r="B91" s="2"/>
      <c r="C91" s="172" t="s">
        <v>204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47"/>
      <c r="P91" s="47"/>
      <c r="Q91" s="47"/>
      <c r="R91" s="47"/>
      <c r="S91" s="47"/>
      <c r="T91" s="47"/>
      <c r="U91" s="47"/>
    </row>
    <row r="92" spans="1:22" ht="15.75" customHeight="1">
      <c r="A92" s="49"/>
      <c r="B92" s="49"/>
      <c r="C92" s="172" t="s">
        <v>205</v>
      </c>
      <c r="D92" s="50"/>
      <c r="E92" s="50"/>
      <c r="F92" s="5"/>
      <c r="G92" s="51"/>
      <c r="H92" s="5"/>
      <c r="I92" s="47"/>
      <c r="J92" s="51"/>
      <c r="K92" s="51"/>
      <c r="L92" s="49"/>
      <c r="M92" s="50"/>
      <c r="N92" s="49"/>
      <c r="O92" s="47"/>
      <c r="P92" s="47"/>
      <c r="Q92" s="47"/>
      <c r="R92" s="47"/>
      <c r="S92" s="47"/>
      <c r="T92" s="47"/>
      <c r="U92" s="47"/>
    </row>
    <row r="93" spans="1:22" ht="15.75" customHeight="1">
      <c r="A93" s="49"/>
      <c r="B93" s="49"/>
      <c r="C93" s="50"/>
      <c r="D93" s="50"/>
      <c r="E93" s="50"/>
      <c r="F93" s="5"/>
      <c r="G93" s="51"/>
      <c r="H93" s="5"/>
      <c r="I93" s="47"/>
      <c r="J93" s="51"/>
      <c r="K93" s="51"/>
      <c r="L93" s="49"/>
      <c r="M93" s="50"/>
      <c r="N93" s="49"/>
      <c r="O93" s="47"/>
      <c r="P93" s="47"/>
      <c r="Q93" s="47"/>
      <c r="R93" s="47"/>
      <c r="S93" s="47"/>
      <c r="T93" s="47"/>
      <c r="U93" s="47"/>
    </row>
    <row r="94" spans="1:22" ht="15.75" customHeight="1">
      <c r="A94" s="49"/>
      <c r="B94" s="49"/>
      <c r="C94" s="50" t="s">
        <v>76</v>
      </c>
      <c r="D94" s="50"/>
      <c r="E94" s="50"/>
      <c r="F94" s="5"/>
      <c r="G94" s="51" t="s">
        <v>77</v>
      </c>
      <c r="H94" s="5"/>
      <c r="I94" s="47"/>
      <c r="J94" s="51"/>
      <c r="K94" s="51"/>
      <c r="L94" s="49"/>
      <c r="M94" s="50" t="s">
        <v>78</v>
      </c>
      <c r="N94" s="49"/>
      <c r="O94" s="47"/>
      <c r="P94" s="47"/>
      <c r="Q94" s="47"/>
      <c r="R94" s="47"/>
      <c r="S94" s="47"/>
      <c r="T94" s="47"/>
      <c r="U94" s="47"/>
    </row>
    <row r="95" spans="1:22" ht="15.75" customHeight="1">
      <c r="A95" s="5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47"/>
      <c r="P95" s="47"/>
      <c r="Q95" s="47"/>
      <c r="R95" s="47"/>
      <c r="S95" s="47"/>
      <c r="T95" s="47"/>
      <c r="U95" s="47"/>
    </row>
    <row r="96" spans="1:22" ht="15.75" customHeight="1">
      <c r="A96" s="5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47"/>
      <c r="P96" s="47"/>
      <c r="Q96" s="47"/>
      <c r="R96" s="47"/>
      <c r="S96" s="47"/>
      <c r="T96" s="47"/>
      <c r="U96" s="47"/>
    </row>
    <row r="97" spans="1:21" ht="15.75" customHeight="1">
      <c r="A97" s="5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47"/>
      <c r="P97" s="47"/>
      <c r="Q97" s="47"/>
      <c r="R97" s="47"/>
      <c r="S97" s="47"/>
      <c r="T97" s="47"/>
      <c r="U97" s="47"/>
    </row>
    <row r="98" spans="1:21" ht="15.75" customHeight="1">
      <c r="A98" s="5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47"/>
      <c r="P98" s="47"/>
      <c r="Q98" s="47"/>
      <c r="R98" s="47"/>
      <c r="S98" s="47"/>
      <c r="T98" s="47"/>
      <c r="U98" s="47"/>
    </row>
    <row r="99" spans="1:21" ht="15.75" customHeight="1">
      <c r="A99" s="5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47"/>
      <c r="P99" s="47"/>
      <c r="Q99" s="47"/>
      <c r="R99" s="47"/>
      <c r="S99" s="47"/>
      <c r="T99" s="47"/>
      <c r="U99" s="47"/>
    </row>
    <row r="100" spans="1:21" ht="15.75" customHeight="1">
      <c r="A100" s="5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47"/>
      <c r="P100" s="47"/>
      <c r="Q100" s="47"/>
      <c r="R100" s="47"/>
      <c r="S100" s="47"/>
      <c r="T100" s="47"/>
      <c r="U100" s="47"/>
    </row>
    <row r="101" spans="1:21" ht="15.75" customHeight="1">
      <c r="A101" s="5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47"/>
      <c r="P101" s="47"/>
      <c r="Q101" s="47"/>
      <c r="R101" s="47"/>
      <c r="S101" s="47"/>
      <c r="T101" s="47"/>
      <c r="U101" s="47"/>
    </row>
    <row r="102" spans="1:21" ht="15.75" customHeight="1">
      <c r="A102" s="5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47"/>
      <c r="P102" s="47"/>
      <c r="Q102" s="47"/>
      <c r="R102" s="47"/>
      <c r="S102" s="47"/>
      <c r="T102" s="47"/>
      <c r="U102" s="47"/>
    </row>
    <row r="103" spans="1:21" ht="15.75" customHeight="1">
      <c r="A103" s="5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47"/>
      <c r="P103" s="47"/>
      <c r="Q103" s="47"/>
      <c r="R103" s="47"/>
      <c r="S103" s="47"/>
      <c r="T103" s="47"/>
      <c r="U103" s="47"/>
    </row>
    <row r="104" spans="1:21" ht="15.75" customHeight="1">
      <c r="A104" s="5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47"/>
      <c r="P104" s="47"/>
      <c r="Q104" s="47"/>
      <c r="R104" s="47"/>
      <c r="S104" s="47"/>
      <c r="T104" s="47"/>
      <c r="U104" s="47"/>
    </row>
    <row r="105" spans="1:21" ht="15.75" customHeight="1">
      <c r="A105" s="5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47"/>
      <c r="P105" s="47"/>
      <c r="Q105" s="47"/>
      <c r="R105" s="47"/>
      <c r="S105" s="47"/>
      <c r="T105" s="47"/>
      <c r="U105" s="47"/>
    </row>
    <row r="106" spans="1:21" ht="15.75" customHeight="1">
      <c r="A106" s="5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47"/>
      <c r="P106" s="47"/>
      <c r="Q106" s="47"/>
      <c r="R106" s="47"/>
      <c r="S106" s="47"/>
      <c r="T106" s="47"/>
      <c r="U106" s="47"/>
    </row>
    <row r="107" spans="1:21" ht="15.75" customHeight="1">
      <c r="A107" s="5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47"/>
      <c r="P107" s="47"/>
      <c r="Q107" s="47"/>
      <c r="R107" s="47"/>
      <c r="S107" s="47"/>
      <c r="T107" s="47"/>
      <c r="U107" s="47"/>
    </row>
    <row r="108" spans="1:21" ht="15.75" customHeight="1">
      <c r="A108" s="5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47"/>
      <c r="P108" s="47"/>
      <c r="Q108" s="47"/>
      <c r="R108" s="47"/>
      <c r="S108" s="47"/>
      <c r="T108" s="47"/>
      <c r="U108" s="47"/>
    </row>
    <row r="109" spans="1:21" ht="15.75" customHeight="1">
      <c r="A109" s="5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47"/>
      <c r="P109" s="47"/>
      <c r="Q109" s="47"/>
      <c r="R109" s="47"/>
      <c r="S109" s="47"/>
      <c r="T109" s="47"/>
      <c r="U109" s="47"/>
    </row>
    <row r="110" spans="1:21" ht="15.75" customHeight="1">
      <c r="A110" s="5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47"/>
      <c r="P110" s="47"/>
      <c r="Q110" s="47"/>
      <c r="R110" s="47"/>
      <c r="S110" s="47"/>
      <c r="T110" s="47"/>
      <c r="U110" s="47"/>
    </row>
    <row r="111" spans="1:21" ht="15.75" customHeight="1">
      <c r="A111" s="5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47"/>
      <c r="P111" s="47"/>
      <c r="Q111" s="47"/>
      <c r="R111" s="47"/>
      <c r="S111" s="47"/>
      <c r="T111" s="47"/>
      <c r="U111" s="47"/>
    </row>
    <row r="112" spans="1:21" ht="15.75" customHeight="1">
      <c r="A112" s="5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47"/>
      <c r="P112" s="47"/>
      <c r="Q112" s="47"/>
      <c r="R112" s="47"/>
      <c r="S112" s="47"/>
      <c r="T112" s="47"/>
      <c r="U112" s="47"/>
    </row>
    <row r="113" spans="1:21" ht="15.75" customHeight="1">
      <c r="A113" s="5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47"/>
      <c r="P113" s="47"/>
      <c r="Q113" s="47"/>
      <c r="R113" s="47"/>
      <c r="S113" s="47"/>
      <c r="T113" s="47"/>
      <c r="U113" s="47"/>
    </row>
    <row r="114" spans="1:21" ht="15.75" customHeight="1">
      <c r="A114" s="5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47"/>
      <c r="P114" s="47"/>
      <c r="Q114" s="47"/>
      <c r="R114" s="47"/>
      <c r="S114" s="47"/>
      <c r="T114" s="47"/>
      <c r="U114" s="47"/>
    </row>
    <row r="115" spans="1:21" ht="15.75" customHeight="1">
      <c r="A115" s="5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47"/>
      <c r="P115" s="47"/>
      <c r="Q115" s="47"/>
      <c r="R115" s="47"/>
      <c r="S115" s="47"/>
      <c r="T115" s="47"/>
      <c r="U115" s="47"/>
    </row>
    <row r="116" spans="1:21" ht="15.75" customHeight="1">
      <c r="A116" s="5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47"/>
      <c r="P116" s="47"/>
      <c r="Q116" s="47"/>
      <c r="R116" s="47"/>
      <c r="S116" s="47"/>
      <c r="T116" s="47"/>
      <c r="U116" s="47"/>
    </row>
    <row r="117" spans="1:21" ht="15.75" customHeight="1">
      <c r="A117" s="5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47"/>
      <c r="P117" s="47"/>
      <c r="Q117" s="47"/>
      <c r="R117" s="47"/>
      <c r="S117" s="47"/>
      <c r="T117" s="47"/>
      <c r="U117" s="47"/>
    </row>
    <row r="118" spans="1:21" ht="15.75" customHeight="1">
      <c r="A118" s="5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47"/>
      <c r="P118" s="47"/>
      <c r="Q118" s="47"/>
      <c r="R118" s="47"/>
      <c r="S118" s="47"/>
      <c r="T118" s="47"/>
      <c r="U118" s="47"/>
    </row>
    <row r="119" spans="1:21" ht="15.75" customHeight="1">
      <c r="A119" s="5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47"/>
      <c r="P119" s="47"/>
      <c r="Q119" s="47"/>
      <c r="R119" s="47"/>
      <c r="S119" s="47"/>
      <c r="T119" s="47"/>
      <c r="U119" s="47"/>
    </row>
    <row r="120" spans="1:21" ht="15.75" customHeight="1">
      <c r="A120" s="5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47"/>
      <c r="P120" s="47"/>
      <c r="Q120" s="47"/>
      <c r="R120" s="47"/>
      <c r="S120" s="47"/>
      <c r="T120" s="47"/>
      <c r="U120" s="47"/>
    </row>
    <row r="121" spans="1:21" ht="15.75" customHeight="1">
      <c r="A121" s="5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47"/>
      <c r="P121" s="47"/>
      <c r="Q121" s="47"/>
      <c r="R121" s="47"/>
      <c r="S121" s="47"/>
      <c r="T121" s="47"/>
      <c r="U121" s="47"/>
    </row>
    <row r="122" spans="1:21" ht="15.75" customHeight="1">
      <c r="A122" s="5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47"/>
      <c r="P122" s="47"/>
      <c r="Q122" s="47"/>
      <c r="R122" s="47"/>
      <c r="S122" s="47"/>
      <c r="T122" s="47"/>
      <c r="U122" s="47"/>
    </row>
    <row r="123" spans="1:21" ht="15.75" customHeight="1">
      <c r="A123" s="5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47"/>
      <c r="P123" s="47"/>
      <c r="Q123" s="47"/>
      <c r="R123" s="47"/>
      <c r="S123" s="47"/>
      <c r="T123" s="47"/>
      <c r="U123" s="47"/>
    </row>
    <row r="124" spans="1:21" ht="15.75" customHeight="1">
      <c r="A124" s="5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47"/>
      <c r="P124" s="47"/>
      <c r="Q124" s="47"/>
      <c r="R124" s="47"/>
      <c r="S124" s="47"/>
      <c r="T124" s="47"/>
      <c r="U124" s="47"/>
    </row>
    <row r="125" spans="1:21" ht="15.75" customHeight="1">
      <c r="A125" s="5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47"/>
      <c r="P125" s="47"/>
      <c r="Q125" s="47"/>
      <c r="R125" s="47"/>
      <c r="S125" s="47"/>
      <c r="T125" s="47"/>
      <c r="U125" s="47"/>
    </row>
    <row r="126" spans="1:21" ht="15.75" customHeight="1">
      <c r="A126" s="5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47"/>
      <c r="P126" s="47"/>
      <c r="Q126" s="47"/>
      <c r="R126" s="47"/>
      <c r="S126" s="47"/>
      <c r="T126" s="47"/>
      <c r="U126" s="47"/>
    </row>
    <row r="127" spans="1:21" ht="15.75" customHeight="1">
      <c r="A127" s="5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47"/>
      <c r="P127" s="47"/>
      <c r="Q127" s="47"/>
      <c r="R127" s="47"/>
      <c r="S127" s="47"/>
      <c r="T127" s="47"/>
      <c r="U127" s="47"/>
    </row>
    <row r="128" spans="1:21" ht="15.75" customHeight="1">
      <c r="A128" s="5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47"/>
      <c r="P128" s="47"/>
      <c r="Q128" s="47"/>
      <c r="R128" s="47"/>
      <c r="S128" s="47"/>
      <c r="T128" s="47"/>
      <c r="U128" s="47"/>
    </row>
    <row r="129" spans="1:21" ht="15.75" customHeight="1">
      <c r="A129" s="5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47"/>
      <c r="P129" s="47"/>
      <c r="Q129" s="47"/>
      <c r="R129" s="47"/>
      <c r="S129" s="47"/>
      <c r="T129" s="47"/>
      <c r="U129" s="47"/>
    </row>
    <row r="130" spans="1:21" ht="15.75" customHeight="1">
      <c r="A130" s="5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47"/>
      <c r="P130" s="47"/>
      <c r="Q130" s="47"/>
      <c r="R130" s="47"/>
      <c r="S130" s="47"/>
      <c r="T130" s="47"/>
      <c r="U130" s="47"/>
    </row>
    <row r="131" spans="1:21" ht="15.75" customHeight="1">
      <c r="A131" s="5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47"/>
      <c r="P131" s="47"/>
      <c r="Q131" s="47"/>
      <c r="R131" s="47"/>
      <c r="S131" s="47"/>
      <c r="T131" s="47"/>
      <c r="U131" s="47"/>
    </row>
    <row r="132" spans="1:21" ht="15.75" customHeight="1">
      <c r="A132" s="5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47"/>
      <c r="P132" s="47"/>
      <c r="Q132" s="47"/>
      <c r="R132" s="47"/>
      <c r="S132" s="47"/>
      <c r="T132" s="47"/>
      <c r="U132" s="47"/>
    </row>
    <row r="133" spans="1:21" ht="15.75" customHeight="1">
      <c r="A133" s="5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47"/>
      <c r="P133" s="47"/>
      <c r="Q133" s="47"/>
      <c r="R133" s="47"/>
      <c r="S133" s="47"/>
      <c r="T133" s="47"/>
      <c r="U133" s="47"/>
    </row>
    <row r="134" spans="1:21" ht="15.75" customHeight="1">
      <c r="A134" s="5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47"/>
      <c r="P134" s="47"/>
      <c r="Q134" s="47"/>
      <c r="R134" s="47"/>
      <c r="S134" s="47"/>
      <c r="T134" s="47"/>
      <c r="U134" s="47"/>
    </row>
    <row r="135" spans="1:21" ht="15.75" customHeight="1">
      <c r="A135" s="5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47"/>
      <c r="P135" s="47"/>
      <c r="Q135" s="47"/>
      <c r="R135" s="47"/>
      <c r="S135" s="47"/>
      <c r="T135" s="47"/>
      <c r="U135" s="47"/>
    </row>
    <row r="136" spans="1:21" ht="15.75" customHeight="1">
      <c r="A136" s="5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47"/>
      <c r="P136" s="47"/>
      <c r="Q136" s="47"/>
      <c r="R136" s="47"/>
      <c r="S136" s="47"/>
      <c r="T136" s="47"/>
      <c r="U136" s="47"/>
    </row>
    <row r="137" spans="1:21" ht="15.75" customHeight="1">
      <c r="A137" s="5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47"/>
      <c r="P137" s="47"/>
      <c r="Q137" s="47"/>
      <c r="R137" s="47"/>
      <c r="S137" s="47"/>
      <c r="T137" s="47"/>
      <c r="U137" s="47"/>
    </row>
    <row r="138" spans="1:21" ht="15.75" customHeight="1">
      <c r="A138" s="5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47"/>
      <c r="P138" s="47"/>
      <c r="Q138" s="47"/>
      <c r="R138" s="47"/>
      <c r="S138" s="47"/>
      <c r="T138" s="47"/>
      <c r="U138" s="47"/>
    </row>
    <row r="139" spans="1:21" ht="15.75" customHeight="1">
      <c r="A139" s="5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47"/>
      <c r="P139" s="47"/>
      <c r="Q139" s="47"/>
      <c r="R139" s="47"/>
      <c r="S139" s="47"/>
      <c r="T139" s="47"/>
      <c r="U139" s="47"/>
    </row>
    <row r="140" spans="1:21" ht="15.75" customHeight="1">
      <c r="A140" s="5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47"/>
      <c r="P140" s="47"/>
      <c r="Q140" s="47"/>
      <c r="R140" s="47"/>
      <c r="S140" s="47"/>
      <c r="T140" s="47"/>
      <c r="U140" s="47"/>
    </row>
    <row r="141" spans="1:21" ht="15.75" customHeight="1">
      <c r="A141" s="5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47"/>
      <c r="P141" s="47"/>
      <c r="Q141" s="47"/>
      <c r="R141" s="47"/>
      <c r="S141" s="47"/>
      <c r="T141" s="47"/>
      <c r="U141" s="47"/>
    </row>
    <row r="142" spans="1:21" ht="15.75" customHeight="1">
      <c r="A142" s="5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47"/>
      <c r="P142" s="47"/>
      <c r="Q142" s="47"/>
      <c r="R142" s="47"/>
      <c r="S142" s="47"/>
      <c r="T142" s="47"/>
      <c r="U142" s="47"/>
    </row>
    <row r="143" spans="1:21" ht="15.75" customHeight="1">
      <c r="A143" s="5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47"/>
      <c r="P143" s="47"/>
      <c r="Q143" s="47"/>
      <c r="R143" s="47"/>
      <c r="S143" s="47"/>
      <c r="T143" s="47"/>
      <c r="U143" s="47"/>
    </row>
    <row r="144" spans="1:21" ht="15.75" customHeight="1">
      <c r="A144" s="5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47"/>
      <c r="P144" s="47"/>
      <c r="Q144" s="47"/>
      <c r="R144" s="47"/>
      <c r="S144" s="47"/>
      <c r="T144" s="47"/>
      <c r="U144" s="47"/>
    </row>
    <row r="145" spans="1:21" ht="15.75" customHeight="1">
      <c r="A145" s="5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47"/>
      <c r="P145" s="47"/>
      <c r="Q145" s="47"/>
      <c r="R145" s="47"/>
      <c r="S145" s="47"/>
      <c r="T145" s="47"/>
      <c r="U145" s="47"/>
    </row>
    <row r="146" spans="1:21" ht="15.75" customHeight="1">
      <c r="A146" s="5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47"/>
      <c r="P146" s="47"/>
      <c r="Q146" s="47"/>
      <c r="R146" s="47"/>
      <c r="S146" s="47"/>
      <c r="T146" s="47"/>
      <c r="U146" s="47"/>
    </row>
    <row r="147" spans="1:21" ht="15.75" customHeight="1">
      <c r="A147" s="5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47"/>
      <c r="P147" s="47"/>
      <c r="Q147" s="47"/>
      <c r="R147" s="47"/>
      <c r="S147" s="47"/>
      <c r="T147" s="47"/>
      <c r="U147" s="47"/>
    </row>
    <row r="148" spans="1:21" ht="15.75" customHeight="1">
      <c r="A148" s="5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47"/>
      <c r="P148" s="47"/>
      <c r="Q148" s="47"/>
      <c r="R148" s="47"/>
      <c r="S148" s="47"/>
      <c r="T148" s="47"/>
      <c r="U148" s="47"/>
    </row>
    <row r="149" spans="1:21" ht="15.75" customHeight="1">
      <c r="A149" s="5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47"/>
      <c r="P149" s="47"/>
      <c r="Q149" s="47"/>
      <c r="R149" s="47"/>
      <c r="S149" s="47"/>
      <c r="T149" s="47"/>
      <c r="U149" s="47"/>
    </row>
    <row r="150" spans="1:21" ht="15.75" customHeight="1">
      <c r="A150" s="5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47"/>
      <c r="P150" s="47"/>
      <c r="Q150" s="47"/>
      <c r="R150" s="47"/>
      <c r="S150" s="47"/>
      <c r="T150" s="47"/>
      <c r="U150" s="47"/>
    </row>
    <row r="151" spans="1:21" ht="15.75" customHeight="1">
      <c r="A151" s="5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47"/>
      <c r="P151" s="47"/>
      <c r="Q151" s="47"/>
      <c r="R151" s="47"/>
      <c r="S151" s="47"/>
      <c r="T151" s="47"/>
      <c r="U151" s="47"/>
    </row>
    <row r="152" spans="1:21" ht="15.75" customHeight="1">
      <c r="A152" s="5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47"/>
      <c r="P152" s="47"/>
      <c r="Q152" s="47"/>
      <c r="R152" s="47"/>
      <c r="S152" s="47"/>
      <c r="T152" s="47"/>
      <c r="U152" s="47"/>
    </row>
    <row r="153" spans="1:21" ht="15.75" customHeight="1">
      <c r="A153" s="5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47"/>
      <c r="P153" s="47"/>
      <c r="Q153" s="47"/>
      <c r="R153" s="47"/>
      <c r="S153" s="47"/>
      <c r="T153" s="47"/>
      <c r="U153" s="47"/>
    </row>
    <row r="154" spans="1:21" ht="15.75" customHeight="1">
      <c r="A154" s="5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47"/>
      <c r="P154" s="47"/>
      <c r="Q154" s="47"/>
      <c r="R154" s="47"/>
      <c r="S154" s="47"/>
      <c r="T154" s="47"/>
      <c r="U154" s="47"/>
    </row>
    <row r="155" spans="1:21" ht="15.75" customHeight="1">
      <c r="A155" s="5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47"/>
      <c r="P155" s="47"/>
      <c r="Q155" s="47"/>
      <c r="R155" s="47"/>
      <c r="S155" s="47"/>
      <c r="T155" s="47"/>
      <c r="U155" s="47"/>
    </row>
    <row r="156" spans="1:21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</row>
    <row r="157" spans="1:21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</row>
    <row r="158" spans="1:21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</row>
    <row r="159" spans="1:21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</row>
    <row r="160" spans="1:21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</row>
    <row r="161" spans="1:2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</row>
    <row r="162" spans="1:21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</row>
    <row r="163" spans="1:21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</row>
    <row r="164" spans="1:21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</row>
    <row r="165" spans="1:21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</row>
    <row r="166" spans="1:21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</row>
    <row r="167" spans="1:21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</row>
    <row r="168" spans="1:21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</row>
    <row r="169" spans="1:21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</row>
    <row r="170" spans="1:21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</row>
    <row r="171" spans="1:2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</row>
    <row r="172" spans="1:21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</row>
    <row r="173" spans="1:21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</row>
    <row r="174" spans="1:21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</row>
    <row r="175" spans="1:21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</row>
    <row r="176" spans="1:21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</row>
    <row r="177" spans="1:21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</row>
    <row r="178" spans="1:21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</row>
    <row r="179" spans="1:21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</row>
    <row r="180" spans="1:21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</row>
    <row r="181" spans="1:2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</row>
    <row r="182" spans="1:21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</row>
    <row r="183" spans="1:21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</row>
    <row r="184" spans="1:21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</row>
    <row r="185" spans="1:21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</row>
    <row r="186" spans="1:21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</row>
    <row r="187" spans="1:21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</row>
    <row r="188" spans="1:21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</row>
    <row r="189" spans="1:21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</row>
    <row r="190" spans="1:21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</row>
    <row r="191" spans="1:2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</row>
    <row r="192" spans="1:21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</row>
    <row r="193" spans="1:21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</row>
    <row r="194" spans="1:21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</row>
    <row r="195" spans="1:21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</row>
    <row r="196" spans="1:21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</row>
    <row r="197" spans="1:21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</row>
    <row r="198" spans="1:21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</row>
    <row r="199" spans="1:21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</row>
    <row r="200" spans="1:21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</row>
    <row r="201" spans="1:2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</row>
    <row r="202" spans="1:21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</row>
    <row r="203" spans="1:21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</row>
    <row r="204" spans="1:21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</row>
    <row r="205" spans="1:21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</row>
    <row r="206" spans="1:21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</row>
    <row r="207" spans="1:21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</row>
    <row r="208" spans="1:21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</row>
    <row r="209" spans="1:21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</row>
    <row r="210" spans="1:21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</row>
    <row r="211" spans="1:2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</row>
    <row r="212" spans="1:21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</row>
    <row r="213" spans="1:21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</row>
    <row r="214" spans="1:21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</row>
    <row r="215" spans="1:21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</row>
    <row r="216" spans="1:21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</row>
    <row r="217" spans="1:21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</row>
    <row r="218" spans="1:21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</row>
    <row r="219" spans="1:21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</row>
    <row r="220" spans="1:21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</row>
    <row r="221" spans="1: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</row>
    <row r="222" spans="1:21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</row>
    <row r="223" spans="1:21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</row>
    <row r="224" spans="1:21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</row>
    <row r="225" spans="1:21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</row>
    <row r="226" spans="1:21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</row>
    <row r="227" spans="1:21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</row>
    <row r="228" spans="1:21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</row>
    <row r="229" spans="1:21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</row>
    <row r="230" spans="1:21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</row>
    <row r="231" spans="1:2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</row>
    <row r="232" spans="1:21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</row>
    <row r="233" spans="1:21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</row>
    <row r="234" spans="1:21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</row>
    <row r="235" spans="1:21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</row>
    <row r="236" spans="1:21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</row>
    <row r="237" spans="1:21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</row>
    <row r="238" spans="1:21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</row>
    <row r="239" spans="1:21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</row>
    <row r="240" spans="1:21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</row>
    <row r="241" spans="1:2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</row>
    <row r="242" spans="1:21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</row>
    <row r="243" spans="1:21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</row>
    <row r="244" spans="1:21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</row>
    <row r="245" spans="1:21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</row>
    <row r="246" spans="1:21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</row>
    <row r="247" spans="1:21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</row>
    <row r="248" spans="1:21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</row>
    <row r="249" spans="1:21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</row>
    <row r="250" spans="1:21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</row>
    <row r="251" spans="1:2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</row>
    <row r="252" spans="1:21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</row>
    <row r="253" spans="1:21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</row>
    <row r="254" spans="1:21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</row>
    <row r="255" spans="1:21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</row>
    <row r="256" spans="1:21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</row>
    <row r="257" spans="1:21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</row>
    <row r="258" spans="1:21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</row>
    <row r="259" spans="1:21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</row>
    <row r="260" spans="1:21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</row>
    <row r="261" spans="1:2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</row>
    <row r="262" spans="1:21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</row>
    <row r="263" spans="1:21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</row>
    <row r="264" spans="1:21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</row>
    <row r="265" spans="1:21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</row>
    <row r="266" spans="1:21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</row>
    <row r="267" spans="1:21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</row>
    <row r="268" spans="1:21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</row>
    <row r="269" spans="1:21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</row>
    <row r="270" spans="1:21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</row>
    <row r="271" spans="1:2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</row>
    <row r="272" spans="1:21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</row>
    <row r="273" spans="1:21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</row>
    <row r="274" spans="1:21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</row>
    <row r="275" spans="1:21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</row>
    <row r="276" spans="1:21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</row>
    <row r="277" spans="1:21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</row>
    <row r="278" spans="1:21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</row>
    <row r="279" spans="1:21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</row>
    <row r="280" spans="1:21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</row>
    <row r="281" spans="1:2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</row>
    <row r="282" spans="1:21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</row>
    <row r="283" spans="1:21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</row>
    <row r="284" spans="1:21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</row>
    <row r="285" spans="1:21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</row>
    <row r="286" spans="1:21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</row>
    <row r="287" spans="1:21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</row>
    <row r="288" spans="1:21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</row>
    <row r="289" spans="1:21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</row>
    <row r="290" spans="1:21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</row>
    <row r="291" spans="1:2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</row>
    <row r="292" spans="1:21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</row>
    <row r="293" spans="1:21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</row>
    <row r="294" spans="1:21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</row>
    <row r="295" spans="1:21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</row>
    <row r="296" spans="1:21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</row>
    <row r="297" spans="1:21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</row>
    <row r="298" spans="1:21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</row>
    <row r="299" spans="1:21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</row>
    <row r="300" spans="1:21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</row>
    <row r="301" spans="1:2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</row>
    <row r="302" spans="1:21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</row>
    <row r="303" spans="1:21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</row>
    <row r="304" spans="1:21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</row>
    <row r="305" spans="1:21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</row>
    <row r="306" spans="1:21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</row>
    <row r="307" spans="1:21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</row>
    <row r="308" spans="1:21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</row>
    <row r="309" spans="1:21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</row>
    <row r="310" spans="1:21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</row>
    <row r="311" spans="1:2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</row>
    <row r="312" spans="1:21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</row>
    <row r="313" spans="1:21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</row>
    <row r="314" spans="1:21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</row>
    <row r="315" spans="1:21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</row>
    <row r="316" spans="1:21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</row>
    <row r="317" spans="1:21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</row>
    <row r="318" spans="1:21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</row>
    <row r="319" spans="1:21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</row>
    <row r="320" spans="1:21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</row>
    <row r="321" spans="1: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</row>
    <row r="322" spans="1:21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</row>
    <row r="323" spans="1:21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</row>
    <row r="324" spans="1:21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</row>
    <row r="325" spans="1:21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</row>
    <row r="326" spans="1:21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</row>
    <row r="327" spans="1:21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</row>
    <row r="328" spans="1:21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</row>
    <row r="329" spans="1:21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</row>
    <row r="330" spans="1:21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</row>
    <row r="331" spans="1:2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</row>
    <row r="332" spans="1:21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</row>
    <row r="333" spans="1:21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</row>
    <row r="334" spans="1:21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</row>
    <row r="335" spans="1:21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</row>
    <row r="336" spans="1:21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</row>
    <row r="337" spans="1:21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</row>
    <row r="338" spans="1:21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</row>
    <row r="339" spans="1:21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</row>
    <row r="340" spans="1:21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</row>
    <row r="341" spans="1:2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</row>
    <row r="342" spans="1:21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</row>
    <row r="343" spans="1:21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</row>
    <row r="344" spans="1:21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</row>
    <row r="345" spans="1:21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</row>
    <row r="346" spans="1:21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</row>
    <row r="347" spans="1:21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</row>
    <row r="348" spans="1:21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</row>
    <row r="349" spans="1:21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</row>
    <row r="350" spans="1:21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</row>
    <row r="351" spans="1:2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</row>
    <row r="352" spans="1:21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</row>
    <row r="353" spans="1:21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</row>
    <row r="354" spans="1:21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</row>
    <row r="355" spans="1:21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</row>
    <row r="356" spans="1:21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</row>
    <row r="357" spans="1:21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</row>
    <row r="358" spans="1:21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</row>
    <row r="359" spans="1:21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</row>
    <row r="360" spans="1:21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</row>
    <row r="361" spans="1:2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</row>
    <row r="362" spans="1:21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</row>
    <row r="363" spans="1:21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</row>
    <row r="364" spans="1:21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</row>
    <row r="365" spans="1:21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</row>
    <row r="366" spans="1:21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</row>
    <row r="367" spans="1:21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</row>
    <row r="368" spans="1:21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</row>
    <row r="369" spans="1:21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</row>
    <row r="370" spans="1:21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</row>
    <row r="371" spans="1:2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</row>
    <row r="372" spans="1:21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</row>
    <row r="373" spans="1:21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</row>
    <row r="374" spans="1:21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</row>
    <row r="375" spans="1:21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</row>
    <row r="376" spans="1:21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</row>
    <row r="377" spans="1:21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</row>
    <row r="378" spans="1:21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</row>
    <row r="379" spans="1:21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</row>
    <row r="380" spans="1:21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</row>
    <row r="381" spans="1:2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</row>
    <row r="382" spans="1:21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</row>
    <row r="383" spans="1:21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</row>
    <row r="384" spans="1:21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</row>
    <row r="385" spans="1:21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</row>
    <row r="386" spans="1:21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</row>
    <row r="387" spans="1:21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</row>
    <row r="388" spans="1:21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</row>
    <row r="389" spans="1:21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</row>
    <row r="390" spans="1:21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</row>
    <row r="391" spans="1:2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</row>
    <row r="392" spans="1:21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</row>
    <row r="393" spans="1:21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</row>
    <row r="394" spans="1:21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</row>
    <row r="395" spans="1:21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</row>
    <row r="396" spans="1:21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</row>
    <row r="397" spans="1:21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</row>
    <row r="398" spans="1:21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</row>
    <row r="399" spans="1:21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</row>
    <row r="400" spans="1:21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</row>
    <row r="401" spans="1:2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</row>
    <row r="402" spans="1:21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</row>
    <row r="403" spans="1:21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</row>
    <row r="404" spans="1:21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</row>
    <row r="405" spans="1:21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</row>
    <row r="406" spans="1:21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</row>
    <row r="407" spans="1:21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</row>
    <row r="408" spans="1:21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</row>
    <row r="409" spans="1:21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</row>
    <row r="410" spans="1:21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</row>
    <row r="411" spans="1:2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</row>
    <row r="412" spans="1:21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</row>
    <row r="413" spans="1:21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</row>
    <row r="414" spans="1:21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</row>
    <row r="415" spans="1:21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</row>
    <row r="416" spans="1:21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</row>
    <row r="417" spans="1:21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</row>
    <row r="418" spans="1:21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</row>
    <row r="419" spans="1:21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</row>
    <row r="420" spans="1:21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</row>
    <row r="421" spans="1: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</row>
    <row r="422" spans="1:21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</row>
    <row r="423" spans="1:21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</row>
    <row r="424" spans="1:21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</row>
    <row r="425" spans="1:21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</row>
    <row r="426" spans="1:21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</row>
    <row r="427" spans="1:21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</row>
    <row r="428" spans="1:21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</row>
    <row r="429" spans="1:21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</row>
    <row r="430" spans="1:21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</row>
    <row r="431" spans="1:2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</row>
    <row r="432" spans="1:21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</row>
    <row r="433" spans="1:21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</row>
    <row r="434" spans="1:21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</row>
    <row r="435" spans="1:21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</row>
    <row r="436" spans="1:21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</row>
    <row r="437" spans="1:21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</row>
    <row r="438" spans="1:21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</row>
    <row r="439" spans="1:21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</row>
    <row r="440" spans="1:21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</row>
    <row r="441" spans="1:2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</row>
    <row r="442" spans="1:21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</row>
    <row r="443" spans="1:21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</row>
    <row r="444" spans="1:21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</row>
    <row r="445" spans="1:21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</row>
    <row r="446" spans="1:21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</row>
    <row r="447" spans="1:21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</row>
    <row r="448" spans="1:21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</row>
    <row r="449" spans="1:21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</row>
    <row r="450" spans="1:21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</row>
    <row r="451" spans="1:2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</row>
    <row r="452" spans="1:21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</row>
    <row r="453" spans="1:21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</row>
    <row r="454" spans="1:21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</row>
    <row r="455" spans="1:21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</row>
    <row r="456" spans="1:21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</row>
    <row r="457" spans="1:21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</row>
    <row r="458" spans="1:21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</row>
    <row r="459" spans="1:21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</row>
    <row r="460" spans="1:21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</row>
    <row r="461" spans="1:2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</row>
    <row r="462" spans="1:21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</row>
    <row r="463" spans="1:21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</row>
    <row r="464" spans="1:21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</row>
    <row r="465" spans="1:21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</row>
    <row r="466" spans="1:21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</row>
    <row r="467" spans="1:21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</row>
    <row r="468" spans="1:21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</row>
    <row r="469" spans="1:21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</row>
    <row r="470" spans="1:21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</row>
    <row r="471" spans="1:2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</row>
    <row r="472" spans="1:21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</row>
    <row r="473" spans="1:21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</row>
    <row r="474" spans="1:21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</row>
    <row r="475" spans="1:21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</row>
    <row r="476" spans="1:21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</row>
    <row r="477" spans="1:21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</row>
    <row r="478" spans="1:21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</row>
    <row r="479" spans="1:21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</row>
    <row r="480" spans="1:21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</row>
    <row r="481" spans="1:2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</row>
    <row r="482" spans="1:21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</row>
    <row r="483" spans="1:21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</row>
    <row r="484" spans="1:21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</row>
    <row r="485" spans="1:21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</row>
    <row r="486" spans="1:21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</row>
    <row r="487" spans="1:21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</row>
    <row r="488" spans="1:21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</row>
    <row r="489" spans="1:21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</row>
    <row r="490" spans="1:21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</row>
    <row r="491" spans="1:2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</row>
    <row r="492" spans="1:21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</row>
    <row r="493" spans="1:21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</row>
    <row r="494" spans="1:21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</row>
    <row r="495" spans="1:21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</row>
    <row r="496" spans="1:21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</row>
    <row r="497" spans="1:21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</row>
    <row r="498" spans="1:21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</row>
    <row r="499" spans="1:21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</row>
    <row r="500" spans="1:21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</row>
    <row r="501" spans="1:2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</row>
    <row r="502" spans="1:21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</row>
    <row r="503" spans="1:21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</row>
    <row r="504" spans="1:21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</row>
    <row r="505" spans="1:21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</row>
    <row r="506" spans="1:21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</row>
    <row r="507" spans="1:21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</row>
    <row r="508" spans="1:21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</row>
    <row r="509" spans="1:21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</row>
    <row r="510" spans="1:21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</row>
    <row r="511" spans="1:2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</row>
    <row r="512" spans="1:21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</row>
    <row r="513" spans="1:21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</row>
    <row r="514" spans="1:21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</row>
    <row r="515" spans="1:21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</row>
    <row r="516" spans="1:21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</row>
    <row r="517" spans="1:21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</row>
    <row r="518" spans="1:21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</row>
    <row r="519" spans="1:21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</row>
    <row r="520" spans="1:21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</row>
    <row r="521" spans="1: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</row>
    <row r="522" spans="1:21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</row>
    <row r="523" spans="1:21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</row>
    <row r="524" spans="1:21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</row>
    <row r="525" spans="1:21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</row>
    <row r="526" spans="1:21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</row>
    <row r="527" spans="1:21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</row>
    <row r="528" spans="1:21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</row>
    <row r="529" spans="1:21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</row>
    <row r="530" spans="1:21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</row>
    <row r="531" spans="1:2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</row>
    <row r="532" spans="1:21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</row>
    <row r="533" spans="1:21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</row>
    <row r="534" spans="1:21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</row>
    <row r="535" spans="1:21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</row>
    <row r="536" spans="1:21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</row>
    <row r="537" spans="1:21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</row>
    <row r="538" spans="1:21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</row>
    <row r="539" spans="1:21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</row>
    <row r="540" spans="1:21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</row>
    <row r="541" spans="1:2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</row>
    <row r="542" spans="1:21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</row>
    <row r="543" spans="1:21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</row>
    <row r="544" spans="1:21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</row>
    <row r="545" spans="1:21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</row>
    <row r="546" spans="1:21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</row>
    <row r="547" spans="1:21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</row>
    <row r="548" spans="1:21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</row>
    <row r="549" spans="1:21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</row>
    <row r="550" spans="1:21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</row>
    <row r="551" spans="1:2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</row>
    <row r="552" spans="1:21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</row>
    <row r="553" spans="1:21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</row>
    <row r="554" spans="1:21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</row>
    <row r="555" spans="1:21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</row>
    <row r="556" spans="1:21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</row>
    <row r="557" spans="1:21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</row>
    <row r="558" spans="1:21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</row>
    <row r="559" spans="1:21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</row>
    <row r="560" spans="1:21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</row>
    <row r="561" spans="1:2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</row>
    <row r="562" spans="1:21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</row>
    <row r="563" spans="1:21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</row>
    <row r="564" spans="1:21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</row>
    <row r="565" spans="1:21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</row>
    <row r="566" spans="1:21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</row>
    <row r="567" spans="1:21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</row>
    <row r="568" spans="1:21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</row>
    <row r="569" spans="1:21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</row>
    <row r="570" spans="1:21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</row>
    <row r="571" spans="1:2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</row>
    <row r="572" spans="1:21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</row>
    <row r="573" spans="1:21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</row>
    <row r="574" spans="1:21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</row>
    <row r="575" spans="1:21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</row>
    <row r="576" spans="1:21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</row>
    <row r="577" spans="1:21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</row>
    <row r="578" spans="1:21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</row>
    <row r="579" spans="1:21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</row>
    <row r="580" spans="1:21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</row>
    <row r="581" spans="1:2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</row>
    <row r="582" spans="1:21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</row>
    <row r="583" spans="1:21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</row>
    <row r="584" spans="1:21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</row>
    <row r="585" spans="1:21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</row>
    <row r="586" spans="1:21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</row>
    <row r="587" spans="1:21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</row>
    <row r="588" spans="1:21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</row>
    <row r="589" spans="1:21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</row>
    <row r="590" spans="1:21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</row>
    <row r="591" spans="1:2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</row>
    <row r="592" spans="1:21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</row>
    <row r="593" spans="1:21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</row>
    <row r="594" spans="1:21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</row>
    <row r="595" spans="1:21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</row>
    <row r="596" spans="1:21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</row>
    <row r="597" spans="1:21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</row>
    <row r="598" spans="1:21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</row>
    <row r="599" spans="1:21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</row>
    <row r="600" spans="1:21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</row>
    <row r="601" spans="1:2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</row>
    <row r="602" spans="1:21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</row>
    <row r="603" spans="1:21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</row>
    <row r="604" spans="1:21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</row>
    <row r="605" spans="1:21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</row>
    <row r="606" spans="1:21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</row>
    <row r="607" spans="1:21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</row>
    <row r="608" spans="1:21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</row>
    <row r="609" spans="1:21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</row>
    <row r="610" spans="1:21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</row>
    <row r="611" spans="1:2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</row>
    <row r="612" spans="1:21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</row>
    <row r="613" spans="1:21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</row>
    <row r="614" spans="1:21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</row>
    <row r="615" spans="1:21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</row>
    <row r="616" spans="1:21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</row>
    <row r="617" spans="1:21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</row>
    <row r="618" spans="1:21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</row>
    <row r="619" spans="1:21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</row>
    <row r="620" spans="1:21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</row>
    <row r="621" spans="1: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</row>
    <row r="622" spans="1:21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</row>
    <row r="623" spans="1:21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</row>
    <row r="624" spans="1:21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</row>
    <row r="625" spans="1:21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</row>
    <row r="626" spans="1:21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</row>
    <row r="627" spans="1:21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</row>
    <row r="628" spans="1:21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</row>
    <row r="629" spans="1:21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</row>
    <row r="630" spans="1:21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</row>
    <row r="631" spans="1:2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</row>
    <row r="632" spans="1:21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</row>
    <row r="633" spans="1:21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</row>
    <row r="634" spans="1:21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</row>
    <row r="635" spans="1:21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</row>
    <row r="636" spans="1:21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</row>
    <row r="637" spans="1:21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</row>
    <row r="638" spans="1:21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</row>
    <row r="639" spans="1:21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</row>
    <row r="640" spans="1:21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</row>
    <row r="641" spans="1:2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</row>
    <row r="642" spans="1:21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</row>
    <row r="643" spans="1:21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</row>
    <row r="644" spans="1:21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</row>
    <row r="645" spans="1:21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</row>
    <row r="646" spans="1:21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</row>
    <row r="647" spans="1:21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</row>
    <row r="648" spans="1:21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</row>
    <row r="649" spans="1:21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</row>
    <row r="650" spans="1:21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</row>
    <row r="651" spans="1:2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</row>
    <row r="652" spans="1:21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</row>
    <row r="653" spans="1:21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</row>
    <row r="654" spans="1:21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</row>
    <row r="655" spans="1:21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</row>
    <row r="656" spans="1:21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</row>
    <row r="657" spans="1:21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</row>
    <row r="658" spans="1:21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</row>
    <row r="659" spans="1:21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</row>
    <row r="660" spans="1:21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</row>
    <row r="661" spans="1:2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</row>
    <row r="662" spans="1:21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</row>
    <row r="663" spans="1:21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</row>
    <row r="664" spans="1:21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</row>
    <row r="665" spans="1:21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</row>
    <row r="666" spans="1:21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</row>
    <row r="667" spans="1:21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</row>
    <row r="668" spans="1:21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</row>
    <row r="669" spans="1:21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</row>
    <row r="670" spans="1:21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</row>
    <row r="671" spans="1:2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</row>
    <row r="672" spans="1:21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</row>
    <row r="673" spans="1:21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</row>
    <row r="674" spans="1:21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</row>
    <row r="675" spans="1:21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</row>
    <row r="676" spans="1:21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</row>
    <row r="677" spans="1:21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</row>
    <row r="678" spans="1:21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</row>
    <row r="679" spans="1:21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</row>
    <row r="680" spans="1:21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</row>
    <row r="681" spans="1:2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</row>
    <row r="682" spans="1:21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</row>
    <row r="683" spans="1:21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</row>
    <row r="684" spans="1:21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</row>
    <row r="685" spans="1:21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</row>
    <row r="686" spans="1:21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</row>
    <row r="687" spans="1:21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</row>
    <row r="688" spans="1:21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</row>
    <row r="689" spans="1:21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</row>
    <row r="690" spans="1:21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</row>
    <row r="691" spans="1:2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</row>
    <row r="692" spans="1:21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</row>
    <row r="693" spans="1:21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</row>
    <row r="694" spans="1:21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</row>
    <row r="695" spans="1:21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</row>
    <row r="696" spans="1:21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</row>
    <row r="697" spans="1:21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</row>
    <row r="698" spans="1:21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</row>
    <row r="699" spans="1:21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</row>
    <row r="700" spans="1:21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</row>
    <row r="701" spans="1:2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</row>
    <row r="702" spans="1:21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</row>
    <row r="703" spans="1:21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</row>
    <row r="704" spans="1:21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</row>
    <row r="705" spans="1:21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</row>
    <row r="706" spans="1:21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</row>
    <row r="707" spans="1:21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</row>
    <row r="708" spans="1:21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</row>
    <row r="709" spans="1:21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</row>
    <row r="710" spans="1:21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</row>
    <row r="711" spans="1:2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</row>
    <row r="712" spans="1:21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</row>
    <row r="713" spans="1:21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</row>
    <row r="714" spans="1:21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</row>
    <row r="715" spans="1:21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</row>
    <row r="716" spans="1:21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</row>
    <row r="717" spans="1:21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</row>
    <row r="718" spans="1:21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</row>
    <row r="719" spans="1:21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</row>
    <row r="720" spans="1:21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</row>
    <row r="721" spans="1: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</row>
    <row r="722" spans="1:21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</row>
    <row r="723" spans="1:21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</row>
    <row r="724" spans="1:21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</row>
    <row r="725" spans="1:21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</row>
    <row r="726" spans="1:21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</row>
    <row r="727" spans="1:21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</row>
    <row r="728" spans="1:21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</row>
    <row r="729" spans="1:21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</row>
    <row r="730" spans="1:21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</row>
    <row r="731" spans="1:2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</row>
    <row r="732" spans="1:21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</row>
    <row r="733" spans="1:21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</row>
    <row r="734" spans="1:21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</row>
    <row r="735" spans="1:21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</row>
    <row r="736" spans="1:21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</row>
    <row r="737" spans="1:21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</row>
    <row r="738" spans="1:21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</row>
    <row r="739" spans="1:21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</row>
    <row r="740" spans="1:21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</row>
    <row r="741" spans="1:2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</row>
    <row r="742" spans="1:21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</row>
    <row r="743" spans="1:21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</row>
    <row r="744" spans="1:21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</row>
    <row r="745" spans="1:21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</row>
    <row r="746" spans="1:21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</row>
    <row r="747" spans="1:21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</row>
    <row r="748" spans="1:21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</row>
    <row r="749" spans="1:21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</row>
    <row r="750" spans="1:21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</row>
    <row r="751" spans="1:2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</row>
    <row r="752" spans="1:21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</row>
    <row r="753" spans="1:21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</row>
    <row r="754" spans="1:21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</row>
    <row r="755" spans="1:21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</row>
    <row r="756" spans="1:21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</row>
    <row r="757" spans="1:21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</row>
    <row r="758" spans="1:21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</row>
    <row r="759" spans="1:21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</row>
    <row r="760" spans="1:21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</row>
    <row r="761" spans="1:2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</row>
    <row r="762" spans="1:21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</row>
    <row r="763" spans="1:21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</row>
    <row r="764" spans="1:21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</row>
    <row r="765" spans="1:21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</row>
    <row r="766" spans="1:21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</row>
    <row r="767" spans="1:21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</row>
    <row r="768" spans="1:21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</row>
    <row r="769" spans="1:21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</row>
    <row r="770" spans="1:21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</row>
    <row r="771" spans="1:2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</row>
    <row r="772" spans="1:21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</row>
    <row r="773" spans="1:21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</row>
    <row r="774" spans="1:21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</row>
    <row r="775" spans="1:21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</row>
    <row r="776" spans="1:21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</row>
    <row r="777" spans="1:21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</row>
    <row r="778" spans="1:21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</row>
    <row r="779" spans="1:21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</row>
    <row r="780" spans="1:21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</row>
    <row r="781" spans="1:2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</row>
    <row r="782" spans="1:21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</row>
    <row r="783" spans="1:21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</row>
    <row r="784" spans="1:21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</row>
    <row r="785" spans="1:21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</row>
    <row r="786" spans="1:21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</row>
    <row r="787" spans="1:21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</row>
    <row r="788" spans="1:21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</row>
    <row r="789" spans="1:21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</row>
    <row r="790" spans="1:21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</row>
    <row r="791" spans="1:2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</row>
    <row r="792" spans="1:21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</row>
    <row r="793" spans="1:21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</row>
    <row r="794" spans="1:21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</row>
    <row r="795" spans="1:21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</row>
    <row r="796" spans="1:21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</row>
    <row r="797" spans="1:21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</row>
    <row r="798" spans="1:21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</row>
    <row r="799" spans="1:21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</row>
    <row r="800" spans="1:21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</row>
    <row r="801" spans="1:2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</row>
    <row r="802" spans="1:21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</row>
    <row r="803" spans="1:21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</row>
    <row r="804" spans="1:21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</row>
    <row r="805" spans="1:21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</row>
    <row r="806" spans="1:21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</row>
    <row r="807" spans="1:21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</row>
    <row r="808" spans="1:21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</row>
    <row r="809" spans="1:21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</row>
    <row r="810" spans="1:21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</row>
    <row r="811" spans="1:2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</row>
    <row r="812" spans="1:21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</row>
    <row r="813" spans="1:21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</row>
    <row r="814" spans="1:21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</row>
    <row r="815" spans="1:21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</row>
    <row r="816" spans="1:21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</row>
    <row r="817" spans="1:21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</row>
    <row r="818" spans="1:21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</row>
    <row r="819" spans="1:21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</row>
    <row r="820" spans="1:21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</row>
    <row r="821" spans="1: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</row>
    <row r="822" spans="1:21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</row>
    <row r="823" spans="1:21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</row>
    <row r="824" spans="1:21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</row>
    <row r="825" spans="1:21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</row>
    <row r="826" spans="1:21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</row>
    <row r="827" spans="1:21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</row>
    <row r="828" spans="1:21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</row>
    <row r="829" spans="1:21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</row>
    <row r="830" spans="1:21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</row>
    <row r="831" spans="1:2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</row>
    <row r="832" spans="1:21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</row>
    <row r="833" spans="1:21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</row>
    <row r="834" spans="1:21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</row>
    <row r="835" spans="1:21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</row>
    <row r="836" spans="1:21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</row>
    <row r="837" spans="1:21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</row>
    <row r="838" spans="1:21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</row>
    <row r="839" spans="1:21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</row>
    <row r="840" spans="1:21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</row>
    <row r="841" spans="1:2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</row>
    <row r="842" spans="1:21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</row>
    <row r="843" spans="1:21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</row>
    <row r="844" spans="1:21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</row>
    <row r="845" spans="1:21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</row>
    <row r="846" spans="1:21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</row>
    <row r="847" spans="1:21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</row>
    <row r="848" spans="1:21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</row>
    <row r="849" spans="1:21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</row>
    <row r="850" spans="1:21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</row>
    <row r="851" spans="1:2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</row>
    <row r="852" spans="1:21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</row>
    <row r="853" spans="1:21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</row>
    <row r="854" spans="1:21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</row>
    <row r="855" spans="1:21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</row>
    <row r="856" spans="1:21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</row>
    <row r="857" spans="1:21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</row>
    <row r="858" spans="1:21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</row>
    <row r="859" spans="1:21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</row>
    <row r="860" spans="1:21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</row>
    <row r="861" spans="1:2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</row>
    <row r="862" spans="1:21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</row>
    <row r="863" spans="1:21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</row>
    <row r="864" spans="1:21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</row>
    <row r="865" spans="1:21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</row>
    <row r="866" spans="1:21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</row>
    <row r="867" spans="1:21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</row>
    <row r="868" spans="1:21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</row>
    <row r="869" spans="1:21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</row>
    <row r="870" spans="1:21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</row>
    <row r="871" spans="1:2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</row>
    <row r="872" spans="1:21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</row>
    <row r="873" spans="1:21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</row>
    <row r="874" spans="1:21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</row>
    <row r="875" spans="1:21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</row>
    <row r="876" spans="1:21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</row>
    <row r="877" spans="1:21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</row>
    <row r="878" spans="1:21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</row>
    <row r="879" spans="1:21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</row>
    <row r="880" spans="1:21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</row>
    <row r="881" spans="1:2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</row>
    <row r="882" spans="1:21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</row>
    <row r="883" spans="1:21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</row>
    <row r="884" spans="1:21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</row>
    <row r="885" spans="1:21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</row>
    <row r="886" spans="1:21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</row>
    <row r="887" spans="1:21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</row>
    <row r="888" spans="1:21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</row>
    <row r="889" spans="1:21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</row>
    <row r="890" spans="1:21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</row>
    <row r="891" spans="1:2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</row>
    <row r="892" spans="1:21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</row>
    <row r="893" spans="1:21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</row>
    <row r="894" spans="1:21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</row>
    <row r="895" spans="1:21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</row>
    <row r="896" spans="1:21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</row>
    <row r="897" spans="1:21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</row>
    <row r="898" spans="1:21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</row>
    <row r="899" spans="1:21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</row>
    <row r="900" spans="1:21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</row>
    <row r="901" spans="1:2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</row>
    <row r="902" spans="1:21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</row>
    <row r="903" spans="1:21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</row>
    <row r="904" spans="1:21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</row>
    <row r="905" spans="1:21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</row>
    <row r="906" spans="1:21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</row>
    <row r="907" spans="1:21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</row>
    <row r="908" spans="1:21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</row>
    <row r="909" spans="1:21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</row>
    <row r="910" spans="1:21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</row>
    <row r="911" spans="1:2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</row>
    <row r="912" spans="1:21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</row>
    <row r="913" spans="1:21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</row>
    <row r="914" spans="1:21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</row>
    <row r="915" spans="1:21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</row>
    <row r="916" spans="1:21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</row>
    <row r="917" spans="1:21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</row>
    <row r="918" spans="1:21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</row>
    <row r="919" spans="1:21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</row>
    <row r="920" spans="1:21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</row>
    <row r="921" spans="1: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</row>
    <row r="922" spans="1:21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</row>
    <row r="923" spans="1:21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</row>
    <row r="924" spans="1:21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</row>
    <row r="925" spans="1:21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</row>
    <row r="926" spans="1:21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</row>
    <row r="927" spans="1:21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</row>
    <row r="928" spans="1:21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</row>
    <row r="929" spans="1:21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</row>
    <row r="930" spans="1:21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</row>
    <row r="931" spans="1:2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</row>
    <row r="932" spans="1:21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</row>
    <row r="933" spans="1:21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</row>
    <row r="934" spans="1:21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</row>
    <row r="935" spans="1:21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</row>
    <row r="936" spans="1:21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</row>
    <row r="937" spans="1:21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</row>
    <row r="938" spans="1:21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</row>
    <row r="939" spans="1:21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</row>
    <row r="940" spans="1:21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</row>
    <row r="941" spans="1:2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</row>
    <row r="942" spans="1:21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</row>
    <row r="943" spans="1:21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</row>
    <row r="944" spans="1:21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</row>
    <row r="945" spans="1:21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</row>
    <row r="946" spans="1:21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</row>
    <row r="947" spans="1:21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</row>
    <row r="948" spans="1:21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</row>
    <row r="949" spans="1:21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</row>
    <row r="950" spans="1:21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</row>
    <row r="951" spans="1:2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</row>
    <row r="952" spans="1:21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</row>
    <row r="953" spans="1:21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</row>
    <row r="954" spans="1:21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</row>
    <row r="955" spans="1:21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</row>
    <row r="956" spans="1:21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</row>
    <row r="957" spans="1:21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</row>
    <row r="958" spans="1:21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</row>
    <row r="959" spans="1:21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</row>
    <row r="960" spans="1:21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</row>
    <row r="961" spans="1:2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</row>
    <row r="962" spans="1:21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</row>
    <row r="963" spans="1:21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</row>
    <row r="964" spans="1:21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</row>
    <row r="965" spans="1:21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</row>
    <row r="966" spans="1:21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</row>
    <row r="967" spans="1:21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</row>
    <row r="968" spans="1:21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</row>
    <row r="969" spans="1:21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</row>
    <row r="970" spans="1:21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</row>
    <row r="971" spans="1:2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</row>
    <row r="972" spans="1:21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</row>
    <row r="973" spans="1:21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</row>
    <row r="974" spans="1:21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</row>
    <row r="975" spans="1:21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</row>
    <row r="976" spans="1:21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</row>
    <row r="977" spans="1:21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</row>
    <row r="978" spans="1:21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</row>
    <row r="979" spans="1:21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</row>
    <row r="980" spans="1:21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</row>
    <row r="981" spans="1:2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</row>
    <row r="982" spans="1:21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</row>
    <row r="983" spans="1:21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</row>
    <row r="984" spans="1:21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</row>
    <row r="985" spans="1:21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</row>
    <row r="986" spans="1:21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</row>
    <row r="987" spans="1:21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</row>
    <row r="988" spans="1:21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</row>
    <row r="989" spans="1:21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</row>
    <row r="990" spans="1:21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</row>
    <row r="991" spans="1:2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</row>
    <row r="992" spans="1:21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</row>
    <row r="993" spans="1:21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</row>
    <row r="994" spans="1:21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</row>
    <row r="995" spans="1:21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</row>
    <row r="996" spans="1:21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</row>
    <row r="997" spans="1:21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</row>
    <row r="998" spans="1:21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</row>
    <row r="999" spans="1:21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</row>
    <row r="1000" spans="1:21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</row>
    <row r="1001" spans="1:21" ht="15.75" customHeight="1">
      <c r="A1001" s="47"/>
      <c r="B1001" s="47"/>
      <c r="C1001" s="47"/>
      <c r="D1001" s="47"/>
      <c r="E1001" s="47"/>
      <c r="F1001" s="47"/>
      <c r="G1001" s="47"/>
      <c r="H1001" s="47"/>
      <c r="I1001" s="47"/>
      <c r="J1001" s="47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</row>
    <row r="1002" spans="1:21" ht="15.75" customHeight="1">
      <c r="A1002" s="47"/>
      <c r="B1002" s="47"/>
      <c r="C1002" s="47"/>
      <c r="D1002" s="47"/>
      <c r="E1002" s="47"/>
      <c r="F1002" s="47"/>
      <c r="G1002" s="47"/>
      <c r="H1002" s="47"/>
      <c r="I1002" s="47"/>
      <c r="J1002" s="47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</row>
    <row r="1003" spans="1:21" ht="15.75" customHeight="1">
      <c r="A1003" s="47"/>
      <c r="B1003" s="47"/>
      <c r="C1003" s="47"/>
      <c r="D1003" s="47"/>
      <c r="E1003" s="47"/>
      <c r="F1003" s="47"/>
      <c r="G1003" s="47"/>
      <c r="H1003" s="47"/>
      <c r="I1003" s="47"/>
      <c r="J1003" s="47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</row>
    <row r="1004" spans="1:21" ht="15.75" customHeight="1">
      <c r="A1004" s="47"/>
      <c r="B1004" s="47"/>
      <c r="C1004" s="47"/>
      <c r="D1004" s="47"/>
      <c r="E1004" s="47"/>
      <c r="F1004" s="47"/>
      <c r="G1004" s="47"/>
      <c r="H1004" s="47"/>
      <c r="I1004" s="47"/>
      <c r="J1004" s="47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</row>
    <row r="1005" spans="1:21" ht="15.75" customHeight="1">
      <c r="A1005" s="47"/>
      <c r="B1005" s="47"/>
      <c r="C1005" s="47"/>
      <c r="D1005" s="47"/>
      <c r="E1005" s="47"/>
      <c r="F1005" s="47"/>
      <c r="G1005" s="47"/>
      <c r="H1005" s="47"/>
      <c r="I1005" s="47"/>
      <c r="J1005" s="47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</row>
    <row r="1006" spans="1:21" ht="15.75" customHeight="1">
      <c r="A1006" s="47"/>
      <c r="B1006" s="47"/>
      <c r="C1006" s="47"/>
      <c r="D1006" s="47"/>
      <c r="E1006" s="47"/>
      <c r="F1006" s="47"/>
      <c r="G1006" s="47"/>
      <c r="H1006" s="47"/>
      <c r="I1006" s="47"/>
      <c r="J1006" s="47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</row>
    <row r="1007" spans="1:21" ht="15.75" customHeight="1">
      <c r="A1007" s="47"/>
      <c r="B1007" s="47"/>
      <c r="C1007" s="47"/>
      <c r="D1007" s="47"/>
      <c r="E1007" s="47"/>
      <c r="F1007" s="47"/>
      <c r="G1007" s="47"/>
      <c r="H1007" s="47"/>
      <c r="I1007" s="47"/>
      <c r="J1007" s="47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</row>
    <row r="1008" spans="1:21" ht="15.75" customHeight="1">
      <c r="A1008" s="47"/>
      <c r="B1008" s="47"/>
      <c r="C1008" s="47"/>
      <c r="D1008" s="47"/>
      <c r="E1008" s="47"/>
      <c r="F1008" s="47"/>
      <c r="G1008" s="47"/>
      <c r="H1008" s="47"/>
      <c r="I1008" s="47"/>
      <c r="J1008" s="47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</row>
    <row r="1009" spans="1:21" ht="15.75" customHeight="1">
      <c r="A1009" s="47"/>
      <c r="B1009" s="47"/>
      <c r="C1009" s="47"/>
      <c r="D1009" s="47"/>
      <c r="E1009" s="47"/>
      <c r="F1009" s="47"/>
      <c r="G1009" s="47"/>
      <c r="H1009" s="47"/>
      <c r="I1009" s="47"/>
      <c r="J1009" s="47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</row>
    <row r="1010" spans="1:21" ht="15.75" customHeight="1">
      <c r="A1010" s="47"/>
      <c r="B1010" s="47"/>
      <c r="C1010" s="47"/>
      <c r="D1010" s="47"/>
      <c r="E1010" s="47"/>
      <c r="F1010" s="47"/>
      <c r="G1010" s="47"/>
      <c r="H1010" s="47"/>
      <c r="I1010" s="47"/>
      <c r="J1010" s="47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</row>
    <row r="1011" spans="1:21" ht="15.75" customHeight="1">
      <c r="A1011" s="47"/>
      <c r="B1011" s="47"/>
      <c r="C1011" s="47"/>
      <c r="D1011" s="47"/>
      <c r="E1011" s="47"/>
      <c r="F1011" s="47"/>
      <c r="G1011" s="47"/>
      <c r="H1011" s="47"/>
      <c r="I1011" s="47"/>
      <c r="J1011" s="47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</row>
    <row r="1012" spans="1:21" ht="15.75" customHeight="1">
      <c r="A1012" s="47"/>
      <c r="B1012" s="47"/>
      <c r="C1012" s="47"/>
      <c r="D1012" s="47"/>
      <c r="E1012" s="47"/>
      <c r="F1012" s="47"/>
      <c r="G1012" s="47"/>
      <c r="H1012" s="47"/>
      <c r="I1012" s="47"/>
      <c r="J1012" s="47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</row>
    <row r="1013" spans="1:21" ht="15.75" customHeight="1">
      <c r="A1013" s="47"/>
      <c r="B1013" s="47"/>
      <c r="C1013" s="47"/>
      <c r="D1013" s="47"/>
      <c r="E1013" s="47"/>
      <c r="F1013" s="47"/>
      <c r="G1013" s="47"/>
      <c r="H1013" s="47"/>
      <c r="I1013" s="47"/>
      <c r="J1013" s="47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</row>
    <row r="1014" spans="1:21" ht="15.75" customHeight="1">
      <c r="A1014" s="47"/>
      <c r="B1014" s="47"/>
      <c r="C1014" s="47"/>
      <c r="D1014" s="47"/>
      <c r="E1014" s="47"/>
      <c r="F1014" s="47"/>
      <c r="G1014" s="47"/>
      <c r="H1014" s="47"/>
      <c r="I1014" s="47"/>
      <c r="J1014" s="47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</row>
    <row r="1015" spans="1:21" ht="15.75" customHeight="1">
      <c r="A1015" s="47"/>
      <c r="B1015" s="47"/>
      <c r="C1015" s="47"/>
      <c r="D1015" s="47"/>
      <c r="E1015" s="47"/>
      <c r="F1015" s="47"/>
      <c r="G1015" s="47"/>
      <c r="H1015" s="47"/>
      <c r="I1015" s="47"/>
      <c r="J1015" s="47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</row>
    <row r="1016" spans="1:21" ht="15.75" customHeight="1">
      <c r="A1016" s="47"/>
      <c r="B1016" s="47"/>
      <c r="C1016" s="47"/>
      <c r="D1016" s="47"/>
      <c r="E1016" s="47"/>
      <c r="F1016" s="47"/>
      <c r="G1016" s="47"/>
      <c r="H1016" s="47"/>
      <c r="I1016" s="47"/>
      <c r="J1016" s="47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</row>
    <row r="1017" spans="1:21" ht="15.75" customHeight="1">
      <c r="A1017" s="47"/>
      <c r="B1017" s="47"/>
      <c r="C1017" s="47"/>
      <c r="D1017" s="47"/>
      <c r="E1017" s="47"/>
      <c r="F1017" s="47"/>
      <c r="G1017" s="47"/>
      <c r="H1017" s="47"/>
      <c r="I1017" s="47"/>
      <c r="J1017" s="47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</row>
    <row r="1018" spans="1:21" ht="15.75" customHeight="1">
      <c r="A1018" s="47"/>
      <c r="B1018" s="47"/>
      <c r="C1018" s="47"/>
      <c r="D1018" s="47"/>
      <c r="E1018" s="47"/>
      <c r="F1018" s="47"/>
      <c r="G1018" s="47"/>
      <c r="H1018" s="47"/>
      <c r="I1018" s="47"/>
      <c r="J1018" s="47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</row>
    <row r="1019" spans="1:21" ht="15.75" customHeight="1">
      <c r="A1019" s="47"/>
      <c r="B1019" s="47"/>
      <c r="C1019" s="47"/>
      <c r="D1019" s="47"/>
      <c r="E1019" s="47"/>
      <c r="F1019" s="47"/>
      <c r="G1019" s="47"/>
      <c r="H1019" s="47"/>
      <c r="I1019" s="47"/>
      <c r="J1019" s="47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</row>
    <row r="1020" spans="1:21" ht="15.75" customHeight="1">
      <c r="A1020" s="47"/>
      <c r="B1020" s="47"/>
      <c r="C1020" s="47"/>
      <c r="D1020" s="47"/>
      <c r="E1020" s="47"/>
      <c r="F1020" s="47"/>
      <c r="G1020" s="47"/>
      <c r="H1020" s="47"/>
      <c r="I1020" s="47"/>
      <c r="J1020" s="47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</row>
    <row r="1021" spans="1:21" ht="15.75" customHeight="1">
      <c r="A1021" s="47"/>
      <c r="B1021" s="47"/>
      <c r="C1021" s="47"/>
      <c r="D1021" s="47"/>
      <c r="E1021" s="47"/>
      <c r="F1021" s="47"/>
      <c r="G1021" s="47"/>
      <c r="H1021" s="47"/>
      <c r="I1021" s="47"/>
      <c r="J1021" s="47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</row>
    <row r="1022" spans="1:21" ht="15.75" customHeight="1">
      <c r="A1022" s="47"/>
      <c r="B1022" s="47"/>
      <c r="C1022" s="47"/>
      <c r="D1022" s="47"/>
      <c r="E1022" s="47"/>
      <c r="F1022" s="47"/>
      <c r="G1022" s="47"/>
      <c r="H1022" s="47"/>
      <c r="I1022" s="47"/>
      <c r="J1022" s="47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</row>
    <row r="1023" spans="1:21" ht="15.75" customHeight="1">
      <c r="A1023" s="47"/>
      <c r="B1023" s="47"/>
      <c r="C1023" s="47"/>
      <c r="D1023" s="47"/>
      <c r="E1023" s="47"/>
      <c r="F1023" s="47"/>
      <c r="G1023" s="47"/>
      <c r="H1023" s="47"/>
      <c r="I1023" s="47"/>
      <c r="J1023" s="47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</row>
    <row r="1024" spans="1:21" ht="15.75" customHeight="1">
      <c r="A1024" s="47"/>
      <c r="B1024" s="47"/>
      <c r="C1024" s="47"/>
      <c r="D1024" s="47"/>
      <c r="E1024" s="47"/>
      <c r="F1024" s="47"/>
      <c r="G1024" s="47"/>
      <c r="H1024" s="47"/>
      <c r="I1024" s="47"/>
      <c r="J1024" s="47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</row>
    <row r="1025" spans="1:21" ht="15.75" customHeight="1">
      <c r="A1025" s="47"/>
      <c r="B1025" s="47"/>
      <c r="C1025" s="47"/>
      <c r="D1025" s="47"/>
      <c r="E1025" s="47"/>
      <c r="F1025" s="47"/>
      <c r="G1025" s="47"/>
      <c r="H1025" s="47"/>
      <c r="I1025" s="47"/>
      <c r="J1025" s="47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</row>
    <row r="1026" spans="1:21" ht="15.75" customHeight="1">
      <c r="A1026" s="47"/>
      <c r="B1026" s="47"/>
      <c r="C1026" s="47"/>
      <c r="D1026" s="47"/>
      <c r="E1026" s="47"/>
      <c r="F1026" s="47"/>
      <c r="G1026" s="47"/>
      <c r="H1026" s="47"/>
      <c r="I1026" s="47"/>
      <c r="J1026" s="47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</row>
    <row r="1027" spans="1:21" ht="15.75" customHeight="1">
      <c r="A1027" s="47"/>
      <c r="B1027" s="47"/>
      <c r="C1027" s="47"/>
      <c r="D1027" s="47"/>
      <c r="E1027" s="47"/>
      <c r="F1027" s="47"/>
      <c r="G1027" s="47"/>
      <c r="H1027" s="47"/>
      <c r="I1027" s="47"/>
      <c r="J1027" s="47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</row>
    <row r="1028" spans="1:21" ht="15.75" customHeight="1">
      <c r="A1028" s="47"/>
      <c r="B1028" s="47"/>
      <c r="C1028" s="47"/>
      <c r="D1028" s="47"/>
      <c r="E1028" s="47"/>
      <c r="F1028" s="47"/>
      <c r="G1028" s="47"/>
      <c r="H1028" s="47"/>
      <c r="I1028" s="47"/>
      <c r="J1028" s="47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</row>
    <row r="1029" spans="1:21" ht="15.75" customHeight="1">
      <c r="A1029" s="47"/>
      <c r="B1029" s="47"/>
      <c r="C1029" s="47"/>
      <c r="D1029" s="47"/>
      <c r="E1029" s="47"/>
      <c r="F1029" s="47"/>
      <c r="G1029" s="47"/>
      <c r="H1029" s="47"/>
      <c r="I1029" s="47"/>
      <c r="J1029" s="47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</row>
    <row r="1030" spans="1:21" ht="15.75" customHeight="1">
      <c r="A1030" s="47"/>
      <c r="B1030" s="47"/>
      <c r="C1030" s="47"/>
      <c r="D1030" s="47"/>
      <c r="E1030" s="47"/>
      <c r="F1030" s="47"/>
      <c r="G1030" s="47"/>
      <c r="H1030" s="47"/>
      <c r="I1030" s="47"/>
      <c r="J1030" s="47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</row>
    <row r="1031" spans="1:21" ht="15.75" customHeight="1">
      <c r="A1031" s="47"/>
      <c r="B1031" s="47"/>
      <c r="C1031" s="47"/>
      <c r="D1031" s="47"/>
      <c r="E1031" s="47"/>
      <c r="F1031" s="47"/>
      <c r="G1031" s="47"/>
      <c r="H1031" s="47"/>
      <c r="I1031" s="47"/>
      <c r="J1031" s="47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</row>
    <row r="1032" spans="1:21" ht="15.75" customHeight="1">
      <c r="A1032" s="47"/>
      <c r="B1032" s="47"/>
      <c r="C1032" s="47"/>
      <c r="D1032" s="47"/>
      <c r="E1032" s="47"/>
      <c r="F1032" s="47"/>
      <c r="G1032" s="47"/>
      <c r="H1032" s="47"/>
      <c r="I1032" s="47"/>
      <c r="J1032" s="47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</row>
    <row r="1033" spans="1:21" ht="15.75" customHeight="1">
      <c r="A1033" s="47"/>
      <c r="B1033" s="47"/>
      <c r="C1033" s="47"/>
      <c r="D1033" s="47"/>
      <c r="E1033" s="47"/>
      <c r="F1033" s="47"/>
      <c r="G1033" s="47"/>
      <c r="H1033" s="47"/>
      <c r="I1033" s="47"/>
      <c r="J1033" s="47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</row>
    <row r="1034" spans="1:21" ht="15.75" customHeight="1">
      <c r="A1034" s="47"/>
      <c r="B1034" s="47"/>
      <c r="C1034" s="47"/>
      <c r="D1034" s="47"/>
      <c r="E1034" s="47"/>
      <c r="F1034" s="47"/>
      <c r="G1034" s="47"/>
      <c r="H1034" s="47"/>
      <c r="I1034" s="47"/>
      <c r="J1034" s="47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</row>
    <row r="1035" spans="1:21" ht="15.75" customHeight="1">
      <c r="A1035" s="47"/>
      <c r="B1035" s="47"/>
      <c r="C1035" s="47"/>
      <c r="D1035" s="47"/>
      <c r="E1035" s="47"/>
      <c r="F1035" s="47"/>
      <c r="G1035" s="47"/>
      <c r="H1035" s="47"/>
      <c r="I1035" s="47"/>
      <c r="J1035" s="47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</row>
    <row r="1036" spans="1:21" ht="15.75" customHeight="1">
      <c r="A1036" s="47"/>
      <c r="B1036" s="47"/>
      <c r="C1036" s="47"/>
      <c r="D1036" s="47"/>
      <c r="E1036" s="47"/>
      <c r="F1036" s="47"/>
      <c r="G1036" s="47"/>
      <c r="H1036" s="47"/>
      <c r="I1036" s="47"/>
      <c r="J1036" s="47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</row>
  </sheetData>
  <mergeCells count="57">
    <mergeCell ref="M42:M43"/>
    <mergeCell ref="N42:N43"/>
    <mergeCell ref="M44:M45"/>
    <mergeCell ref="N44:N45"/>
    <mergeCell ref="A1:N1"/>
    <mergeCell ref="A3:N3"/>
    <mergeCell ref="A4:N4"/>
    <mergeCell ref="A5:N5"/>
    <mergeCell ref="A6:N6"/>
    <mergeCell ref="F8:J8"/>
    <mergeCell ref="A9:A10"/>
    <mergeCell ref="B9:B10"/>
    <mergeCell ref="C9:C10"/>
    <mergeCell ref="H9:J9"/>
    <mergeCell ref="L9:L10"/>
    <mergeCell ref="A15:A16"/>
    <mergeCell ref="B15:B16"/>
    <mergeCell ref="A17:A23"/>
    <mergeCell ref="B17:B23"/>
    <mergeCell ref="B24:B29"/>
    <mergeCell ref="A24:A29"/>
    <mergeCell ref="B30:B38"/>
    <mergeCell ref="A39:A47"/>
    <mergeCell ref="B39:B47"/>
    <mergeCell ref="A48:A56"/>
    <mergeCell ref="B48:B56"/>
    <mergeCell ref="C82:D82"/>
    <mergeCell ref="A83:F83"/>
    <mergeCell ref="H83:I83"/>
    <mergeCell ref="M83:N83"/>
    <mergeCell ref="A57:A65"/>
    <mergeCell ref="B57:B65"/>
    <mergeCell ref="M60:M61"/>
    <mergeCell ref="N60:N61"/>
    <mergeCell ref="M62:M63"/>
    <mergeCell ref="N62:N63"/>
    <mergeCell ref="A82:B82"/>
    <mergeCell ref="A66:A72"/>
    <mergeCell ref="B66:B72"/>
    <mergeCell ref="E66:E72"/>
    <mergeCell ref="E57:E65"/>
    <mergeCell ref="A77:A81"/>
    <mergeCell ref="B77:B81"/>
    <mergeCell ref="E73:E76"/>
    <mergeCell ref="M9:O10"/>
    <mergeCell ref="E77:E81"/>
    <mergeCell ref="A73:A76"/>
    <mergeCell ref="B73:B76"/>
    <mergeCell ref="E48:E56"/>
    <mergeCell ref="D9:D10"/>
    <mergeCell ref="E9:E10"/>
    <mergeCell ref="E15:E16"/>
    <mergeCell ref="E17:E23"/>
    <mergeCell ref="E24:E29"/>
    <mergeCell ref="E30:E38"/>
    <mergeCell ref="E39:E47"/>
    <mergeCell ref="A30:A38"/>
  </mergeCells>
  <pageMargins left="0.70866141732283472" right="0.70866141732283472" top="0.74803149606299213" bottom="0.74803149606299213" header="0" footer="0"/>
  <pageSetup scale="84" fitToHeight="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tabSelected="1" topLeftCell="A34" workbookViewId="0">
      <selection activeCell="F36" sqref="F36"/>
    </sheetView>
  </sheetViews>
  <sheetFormatPr defaultRowHeight="15"/>
  <cols>
    <col min="1" max="1" width="6.42578125" style="98" customWidth="1"/>
    <col min="2" max="2" width="17.28515625" style="98" customWidth="1"/>
    <col min="3" max="3" width="8.85546875" style="98" customWidth="1"/>
    <col min="4" max="4" width="13.42578125" style="98" customWidth="1"/>
    <col min="5" max="5" width="8.85546875" style="98" customWidth="1"/>
    <col min="6" max="6" width="22.140625" style="98" customWidth="1"/>
    <col min="7" max="8" width="9.140625" style="98"/>
    <col min="9" max="9" width="12.28515625" style="98" customWidth="1"/>
    <col min="10" max="16384" width="9.140625" style="98"/>
  </cols>
  <sheetData>
    <row r="1" spans="1:10" ht="64.5" customHeight="1">
      <c r="A1" s="235" t="s">
        <v>125</v>
      </c>
      <c r="B1" s="236"/>
      <c r="C1" s="236"/>
      <c r="D1" s="236"/>
      <c r="E1" s="236"/>
      <c r="F1" s="236"/>
      <c r="G1" s="236"/>
      <c r="H1" s="236"/>
      <c r="I1" s="236"/>
      <c r="J1" s="236"/>
    </row>
    <row r="2" spans="1:10">
      <c r="C2" s="99"/>
      <c r="D2" s="99"/>
      <c r="E2" s="100"/>
      <c r="F2" s="100"/>
      <c r="G2" s="100"/>
      <c r="H2" s="100"/>
      <c r="I2" s="100"/>
      <c r="J2" s="101"/>
    </row>
    <row r="3" spans="1:10" ht="18.75">
      <c r="A3" s="237" t="s">
        <v>1</v>
      </c>
      <c r="B3" s="237"/>
      <c r="C3" s="237"/>
      <c r="D3" s="237"/>
      <c r="E3" s="237"/>
      <c r="F3" s="237"/>
      <c r="G3" s="237"/>
      <c r="H3" s="237"/>
      <c r="I3" s="237"/>
      <c r="J3" s="237"/>
    </row>
    <row r="4" spans="1:10" ht="18.75">
      <c r="A4" s="237" t="s">
        <v>126</v>
      </c>
      <c r="B4" s="237"/>
      <c r="C4" s="237"/>
      <c r="D4" s="237"/>
      <c r="E4" s="237"/>
      <c r="F4" s="237"/>
      <c r="G4" s="237"/>
      <c r="H4" s="237"/>
      <c r="I4" s="237"/>
      <c r="J4" s="237"/>
    </row>
    <row r="5" spans="1:10" ht="15.75">
      <c r="A5" s="238" t="s">
        <v>3</v>
      </c>
      <c r="B5" s="238"/>
      <c r="C5" s="238"/>
      <c r="D5" s="238"/>
      <c r="E5" s="238"/>
      <c r="F5" s="238"/>
      <c r="G5" s="238"/>
      <c r="H5" s="238"/>
      <c r="I5" s="238"/>
      <c r="J5" s="238"/>
    </row>
    <row r="6" spans="1:10" ht="15.75">
      <c r="A6" s="102"/>
      <c r="B6" s="102"/>
      <c r="C6" s="102"/>
      <c r="D6" s="102"/>
      <c r="E6" s="102"/>
      <c r="F6" s="102"/>
      <c r="G6" s="102"/>
      <c r="H6" s="102"/>
      <c r="I6" s="102"/>
      <c r="J6" s="102"/>
    </row>
    <row r="7" spans="1:10" ht="15.75">
      <c r="A7" s="238" t="s">
        <v>127</v>
      </c>
      <c r="B7" s="238"/>
      <c r="C7" s="238"/>
      <c r="D7" s="238"/>
      <c r="E7" s="238"/>
      <c r="F7" s="238"/>
      <c r="G7" s="238"/>
      <c r="H7" s="238"/>
      <c r="I7" s="238"/>
      <c r="J7" s="238"/>
    </row>
    <row r="8" spans="1:10" ht="15.75">
      <c r="A8" s="234" t="s">
        <v>128</v>
      </c>
      <c r="B8" s="234"/>
      <c r="C8" s="234"/>
      <c r="D8" s="234"/>
      <c r="E8" s="234"/>
      <c r="F8" s="234"/>
      <c r="G8" s="234"/>
      <c r="H8" s="234"/>
      <c r="I8" s="234"/>
      <c r="J8" s="234"/>
    </row>
    <row r="9" spans="1:10">
      <c r="A9" s="103"/>
      <c r="B9" s="104"/>
      <c r="C9" s="105"/>
      <c r="D9" s="105"/>
      <c r="E9" s="103"/>
      <c r="F9" s="103"/>
      <c r="G9" s="103"/>
      <c r="H9" s="103"/>
      <c r="I9" s="103"/>
      <c r="J9" s="103"/>
    </row>
    <row r="10" spans="1:10" s="109" customFormat="1" ht="110.25">
      <c r="A10" s="106" t="s">
        <v>6</v>
      </c>
      <c r="B10" s="106" t="s">
        <v>129</v>
      </c>
      <c r="C10" s="106" t="s">
        <v>130</v>
      </c>
      <c r="D10" s="106" t="s">
        <v>131</v>
      </c>
      <c r="E10" s="107" t="s">
        <v>7</v>
      </c>
      <c r="F10" s="106" t="s">
        <v>132</v>
      </c>
      <c r="G10" s="106" t="s">
        <v>133</v>
      </c>
      <c r="H10" s="106" t="s">
        <v>134</v>
      </c>
      <c r="I10" s="106" t="s">
        <v>135</v>
      </c>
      <c r="J10" s="108" t="s">
        <v>135</v>
      </c>
    </row>
    <row r="11" spans="1:10" s="109" customFormat="1">
      <c r="A11" s="110">
        <v>1</v>
      </c>
      <c r="B11" s="111">
        <v>2</v>
      </c>
      <c r="C11" s="110">
        <v>3</v>
      </c>
      <c r="D11" s="111">
        <v>4</v>
      </c>
      <c r="E11" s="110">
        <v>5</v>
      </c>
      <c r="F11" s="111">
        <v>6</v>
      </c>
      <c r="G11" s="110">
        <v>7</v>
      </c>
      <c r="H11" s="111">
        <v>8</v>
      </c>
      <c r="I11" s="110">
        <v>9</v>
      </c>
      <c r="J11" s="111">
        <v>10</v>
      </c>
    </row>
    <row r="12" spans="1:10" ht="30">
      <c r="A12" s="239"/>
      <c r="B12" s="242" t="s">
        <v>136</v>
      </c>
      <c r="C12" s="242" t="s">
        <v>137</v>
      </c>
      <c r="D12" s="239" t="s">
        <v>138</v>
      </c>
      <c r="E12" s="112" t="s">
        <v>48</v>
      </c>
      <c r="F12" s="112" t="s">
        <v>50</v>
      </c>
      <c r="G12" s="113">
        <v>2</v>
      </c>
      <c r="H12" s="113">
        <v>2</v>
      </c>
      <c r="I12" s="113">
        <f>+G12+H12</f>
        <v>4</v>
      </c>
      <c r="J12" s="245">
        <v>18</v>
      </c>
    </row>
    <row r="13" spans="1:10" ht="31.5">
      <c r="A13" s="240"/>
      <c r="B13" s="243"/>
      <c r="C13" s="243"/>
      <c r="D13" s="240"/>
      <c r="E13" s="112" t="s">
        <v>155</v>
      </c>
      <c r="F13" s="36" t="s">
        <v>157</v>
      </c>
      <c r="G13" s="113">
        <v>0</v>
      </c>
      <c r="H13" s="113">
        <v>6</v>
      </c>
      <c r="I13" s="113">
        <v>6</v>
      </c>
      <c r="J13" s="246"/>
    </row>
    <row r="14" spans="1:10" ht="15.75">
      <c r="A14" s="240"/>
      <c r="B14" s="243"/>
      <c r="C14" s="243"/>
      <c r="D14" s="240"/>
      <c r="E14" s="112" t="s">
        <v>139</v>
      </c>
      <c r="F14" s="29" t="s">
        <v>156</v>
      </c>
      <c r="G14" s="113">
        <v>0</v>
      </c>
      <c r="H14" s="113">
        <v>4</v>
      </c>
      <c r="I14" s="113">
        <v>4</v>
      </c>
      <c r="J14" s="246"/>
    </row>
    <row r="15" spans="1:10" ht="31.5">
      <c r="A15" s="241"/>
      <c r="B15" s="244"/>
      <c r="C15" s="244"/>
      <c r="D15" s="241"/>
      <c r="E15" s="112" t="s">
        <v>153</v>
      </c>
      <c r="F15" s="29" t="s">
        <v>61</v>
      </c>
      <c r="G15" s="113">
        <v>2</v>
      </c>
      <c r="H15" s="113">
        <v>2</v>
      </c>
      <c r="I15" s="113">
        <f>+G15+H15</f>
        <v>4</v>
      </c>
      <c r="J15" s="247"/>
    </row>
    <row r="16" spans="1:10" ht="45" customHeight="1">
      <c r="A16" s="255">
        <v>2</v>
      </c>
      <c r="B16" s="242" t="s">
        <v>141</v>
      </c>
      <c r="C16" s="242" t="s">
        <v>142</v>
      </c>
      <c r="D16" s="242" t="s">
        <v>138</v>
      </c>
      <c r="E16" s="112" t="s">
        <v>66</v>
      </c>
      <c r="F16" s="36" t="s">
        <v>67</v>
      </c>
      <c r="G16" s="113">
        <v>2</v>
      </c>
      <c r="H16" s="113">
        <v>2</v>
      </c>
      <c r="I16" s="113">
        <f t="shared" ref="I16:I39" si="0">+G16+H16</f>
        <v>4</v>
      </c>
      <c r="J16" s="245">
        <v>28</v>
      </c>
    </row>
    <row r="17" spans="1:10" ht="15.75">
      <c r="A17" s="256"/>
      <c r="B17" s="243"/>
      <c r="C17" s="243"/>
      <c r="D17" s="243"/>
      <c r="E17" s="112" t="s">
        <v>139</v>
      </c>
      <c r="F17" s="115" t="s">
        <v>29</v>
      </c>
      <c r="G17" s="113">
        <v>2</v>
      </c>
      <c r="H17" s="113">
        <v>8</v>
      </c>
      <c r="I17" s="113">
        <f t="shared" ref="I17" si="1">+G17+H17</f>
        <v>10</v>
      </c>
      <c r="J17" s="246"/>
    </row>
    <row r="18" spans="1:10" ht="31.5">
      <c r="A18" s="256"/>
      <c r="B18" s="243"/>
      <c r="C18" s="243"/>
      <c r="D18" s="243"/>
      <c r="E18" s="112" t="s">
        <v>155</v>
      </c>
      <c r="F18" s="36" t="s">
        <v>40</v>
      </c>
      <c r="G18" s="113">
        <v>0</v>
      </c>
      <c r="H18" s="113">
        <v>6</v>
      </c>
      <c r="I18" s="113">
        <v>6</v>
      </c>
      <c r="J18" s="246"/>
    </row>
    <row r="19" spans="1:10" ht="31.5">
      <c r="A19" s="257"/>
      <c r="B19" s="244"/>
      <c r="C19" s="244"/>
      <c r="D19" s="244"/>
      <c r="E19" s="112" t="s">
        <v>174</v>
      </c>
      <c r="F19" s="145" t="s">
        <v>168</v>
      </c>
      <c r="G19" s="113">
        <v>0</v>
      </c>
      <c r="H19" s="113">
        <v>8</v>
      </c>
      <c r="I19" s="113">
        <v>8</v>
      </c>
      <c r="J19" s="247"/>
    </row>
    <row r="20" spans="1:10" ht="45" customHeight="1">
      <c r="A20" s="252">
        <v>3</v>
      </c>
      <c r="B20" s="242" t="s">
        <v>143</v>
      </c>
      <c r="C20" s="242" t="s">
        <v>142</v>
      </c>
      <c r="D20" s="242" t="s">
        <v>138</v>
      </c>
      <c r="E20" s="112" t="s">
        <v>41</v>
      </c>
      <c r="F20" s="112" t="s">
        <v>144</v>
      </c>
      <c r="G20" s="113">
        <v>3</v>
      </c>
      <c r="H20" s="113">
        <v>4</v>
      </c>
      <c r="I20" s="113">
        <f t="shared" si="0"/>
        <v>7</v>
      </c>
      <c r="J20" s="245">
        <v>23</v>
      </c>
    </row>
    <row r="21" spans="1:10" ht="31.5">
      <c r="A21" s="253"/>
      <c r="B21" s="243"/>
      <c r="C21" s="243"/>
      <c r="D21" s="243"/>
      <c r="E21" s="112" t="s">
        <v>139</v>
      </c>
      <c r="F21" s="29" t="s">
        <v>140</v>
      </c>
      <c r="G21" s="113">
        <v>0</v>
      </c>
      <c r="H21" s="113">
        <v>2</v>
      </c>
      <c r="I21" s="113">
        <v>2</v>
      </c>
      <c r="J21" s="246"/>
    </row>
    <row r="22" spans="1:10" ht="45">
      <c r="A22" s="253"/>
      <c r="B22" s="243"/>
      <c r="C22" s="243"/>
      <c r="D22" s="243"/>
      <c r="E22" s="112" t="s">
        <v>30</v>
      </c>
      <c r="F22" s="121" t="s">
        <v>154</v>
      </c>
      <c r="G22" s="113">
        <v>0</v>
      </c>
      <c r="H22" s="113">
        <v>6</v>
      </c>
      <c r="I22" s="113">
        <f t="shared" ref="I22" si="2">+G22+H22</f>
        <v>6</v>
      </c>
      <c r="J22" s="246"/>
    </row>
    <row r="23" spans="1:10" ht="15.75">
      <c r="A23" s="254"/>
      <c r="B23" s="244"/>
      <c r="C23" s="244"/>
      <c r="D23" s="244"/>
      <c r="E23" s="112" t="s">
        <v>139</v>
      </c>
      <c r="F23" s="29" t="s">
        <v>156</v>
      </c>
      <c r="G23" s="113">
        <v>0</v>
      </c>
      <c r="H23" s="113">
        <v>8</v>
      </c>
      <c r="I23" s="113">
        <v>8</v>
      </c>
      <c r="J23" s="247"/>
    </row>
    <row r="24" spans="1:10" ht="30">
      <c r="A24" s="252">
        <v>4</v>
      </c>
      <c r="B24" s="242" t="s">
        <v>145</v>
      </c>
      <c r="C24" s="242" t="s">
        <v>142</v>
      </c>
      <c r="D24" s="242" t="s">
        <v>138</v>
      </c>
      <c r="E24" s="112" t="s">
        <v>66</v>
      </c>
      <c r="F24" s="36" t="s">
        <v>58</v>
      </c>
      <c r="G24" s="113">
        <v>2</v>
      </c>
      <c r="H24" s="113">
        <v>2</v>
      </c>
      <c r="I24" s="113">
        <f t="shared" si="0"/>
        <v>4</v>
      </c>
      <c r="J24" s="245">
        <v>22</v>
      </c>
    </row>
    <row r="25" spans="1:10" ht="15.75">
      <c r="A25" s="253"/>
      <c r="B25" s="243"/>
      <c r="C25" s="243"/>
      <c r="D25" s="243"/>
      <c r="E25" s="112" t="s">
        <v>139</v>
      </c>
      <c r="F25" s="29" t="s">
        <v>156</v>
      </c>
      <c r="G25" s="113">
        <v>0</v>
      </c>
      <c r="H25" s="113">
        <v>4</v>
      </c>
      <c r="I25" s="113">
        <v>4</v>
      </c>
      <c r="J25" s="246"/>
    </row>
    <row r="26" spans="1:10" ht="15.75">
      <c r="A26" s="254"/>
      <c r="B26" s="244"/>
      <c r="C26" s="244"/>
      <c r="D26" s="244"/>
      <c r="E26" s="112" t="s">
        <v>139</v>
      </c>
      <c r="F26" s="115" t="s">
        <v>29</v>
      </c>
      <c r="G26" s="113">
        <v>2</v>
      </c>
      <c r="H26" s="113">
        <v>12</v>
      </c>
      <c r="I26" s="113">
        <f t="shared" si="0"/>
        <v>14</v>
      </c>
      <c r="J26" s="247"/>
    </row>
    <row r="27" spans="1:10" ht="30" customHeight="1">
      <c r="A27" s="252">
        <v>5</v>
      </c>
      <c r="B27" s="242" t="s">
        <v>146</v>
      </c>
      <c r="C27" s="242" t="s">
        <v>142</v>
      </c>
      <c r="D27" s="242" t="s">
        <v>138</v>
      </c>
      <c r="E27" s="112" t="s">
        <v>41</v>
      </c>
      <c r="F27" s="112" t="s">
        <v>147</v>
      </c>
      <c r="G27" s="113">
        <v>3</v>
      </c>
      <c r="H27" s="113">
        <v>2</v>
      </c>
      <c r="I27" s="113">
        <f t="shared" si="0"/>
        <v>5</v>
      </c>
      <c r="J27" s="245">
        <v>22</v>
      </c>
    </row>
    <row r="28" spans="1:10" ht="45">
      <c r="A28" s="253"/>
      <c r="B28" s="243"/>
      <c r="C28" s="243"/>
      <c r="D28" s="243"/>
      <c r="E28" s="112" t="s">
        <v>30</v>
      </c>
      <c r="F28" s="121" t="s">
        <v>154</v>
      </c>
      <c r="G28" s="113">
        <v>0</v>
      </c>
      <c r="H28" s="113">
        <v>6</v>
      </c>
      <c r="I28" s="113">
        <v>6</v>
      </c>
      <c r="J28" s="246"/>
    </row>
    <row r="29" spans="1:10" ht="15.75">
      <c r="A29" s="253"/>
      <c r="B29" s="243"/>
      <c r="C29" s="243"/>
      <c r="D29" s="243"/>
      <c r="E29" s="112" t="s">
        <v>139</v>
      </c>
      <c r="F29" s="115" t="s">
        <v>29</v>
      </c>
      <c r="G29" s="113">
        <v>0</v>
      </c>
      <c r="H29" s="113">
        <v>4</v>
      </c>
      <c r="I29" s="113">
        <f t="shared" ref="I29" si="3">+G29+H29</f>
        <v>4</v>
      </c>
      <c r="J29" s="246"/>
    </row>
    <row r="30" spans="1:10" ht="30">
      <c r="A30" s="253"/>
      <c r="B30" s="243"/>
      <c r="C30" s="243"/>
      <c r="D30" s="243"/>
      <c r="E30" s="112" t="s">
        <v>57</v>
      </c>
      <c r="F30" s="112" t="s">
        <v>59</v>
      </c>
      <c r="G30" s="113">
        <v>2</v>
      </c>
      <c r="H30" s="113">
        <v>2</v>
      </c>
      <c r="I30" s="113">
        <f t="shared" si="0"/>
        <v>4</v>
      </c>
      <c r="J30" s="246"/>
    </row>
    <row r="31" spans="1:10" ht="15.75">
      <c r="A31" s="254"/>
      <c r="B31" s="244"/>
      <c r="C31" s="244"/>
      <c r="D31" s="244"/>
      <c r="E31" s="112" t="s">
        <v>174</v>
      </c>
      <c r="F31" s="130" t="s">
        <v>167</v>
      </c>
      <c r="G31" s="113">
        <v>3</v>
      </c>
      <c r="H31" s="113">
        <v>0</v>
      </c>
      <c r="I31" s="113">
        <f t="shared" si="0"/>
        <v>3</v>
      </c>
      <c r="J31" s="247"/>
    </row>
    <row r="32" spans="1:10" ht="31.5">
      <c r="A32" s="248">
        <v>6</v>
      </c>
      <c r="B32" s="249" t="s">
        <v>148</v>
      </c>
      <c r="C32" s="249" t="s">
        <v>142</v>
      </c>
      <c r="D32" s="249" t="s">
        <v>138</v>
      </c>
      <c r="E32" s="112" t="s">
        <v>57</v>
      </c>
      <c r="F32" s="120" t="s">
        <v>63</v>
      </c>
      <c r="G32" s="113">
        <v>3</v>
      </c>
      <c r="H32" s="113">
        <v>2</v>
      </c>
      <c r="I32" s="113">
        <f t="shared" si="0"/>
        <v>5</v>
      </c>
      <c r="J32" s="251">
        <f>+I32+I33+I34</f>
        <v>22</v>
      </c>
    </row>
    <row r="33" spans="1:10" ht="30">
      <c r="A33" s="248"/>
      <c r="B33" s="249"/>
      <c r="C33" s="249"/>
      <c r="D33" s="249"/>
      <c r="E33" s="112" t="s">
        <v>41</v>
      </c>
      <c r="F33" s="121" t="s">
        <v>149</v>
      </c>
      <c r="G33" s="113">
        <v>3</v>
      </c>
      <c r="H33" s="113">
        <v>2</v>
      </c>
      <c r="I33" s="113">
        <f>+G33+H33</f>
        <v>5</v>
      </c>
      <c r="J33" s="251"/>
    </row>
    <row r="34" spans="1:10" ht="45">
      <c r="A34" s="248"/>
      <c r="B34" s="249"/>
      <c r="C34" s="249"/>
      <c r="D34" s="249"/>
      <c r="E34" s="112" t="s">
        <v>30</v>
      </c>
      <c r="F34" s="121" t="s">
        <v>154</v>
      </c>
      <c r="G34" s="113">
        <v>0</v>
      </c>
      <c r="H34" s="113">
        <v>12</v>
      </c>
      <c r="I34" s="113">
        <f t="shared" ref="I34" si="4">+G34+H34</f>
        <v>12</v>
      </c>
      <c r="J34" s="251"/>
    </row>
    <row r="35" spans="1:10" ht="30">
      <c r="A35" s="248">
        <v>7</v>
      </c>
      <c r="B35" s="249" t="s">
        <v>150</v>
      </c>
      <c r="C35" s="249" t="s">
        <v>142</v>
      </c>
      <c r="D35" s="249" t="s">
        <v>138</v>
      </c>
      <c r="E35" s="112" t="s">
        <v>139</v>
      </c>
      <c r="F35" s="112" t="s">
        <v>140</v>
      </c>
      <c r="G35" s="113">
        <v>0</v>
      </c>
      <c r="H35" s="113">
        <v>2</v>
      </c>
      <c r="I35" s="113">
        <f t="shared" si="0"/>
        <v>2</v>
      </c>
      <c r="J35" s="250">
        <v>24</v>
      </c>
    </row>
    <row r="36" spans="1:10" ht="30">
      <c r="A36" s="248"/>
      <c r="B36" s="249"/>
      <c r="C36" s="249"/>
      <c r="D36" s="249"/>
      <c r="E36" s="112" t="s">
        <v>41</v>
      </c>
      <c r="F36" s="114" t="s">
        <v>151</v>
      </c>
      <c r="G36" s="113">
        <v>4</v>
      </c>
      <c r="H36" s="113">
        <v>2</v>
      </c>
      <c r="I36" s="113">
        <f t="shared" si="0"/>
        <v>6</v>
      </c>
      <c r="J36" s="250"/>
    </row>
    <row r="37" spans="1:10" ht="15.75">
      <c r="A37" s="248"/>
      <c r="B37" s="249"/>
      <c r="C37" s="249"/>
      <c r="D37" s="249"/>
      <c r="E37" s="112" t="s">
        <v>139</v>
      </c>
      <c r="F37" s="29" t="s">
        <v>156</v>
      </c>
      <c r="G37" s="113">
        <v>0</v>
      </c>
      <c r="H37" s="113">
        <v>8</v>
      </c>
      <c r="I37" s="113">
        <v>8</v>
      </c>
      <c r="J37" s="250"/>
    </row>
    <row r="38" spans="1:10" ht="15.75">
      <c r="A38" s="248"/>
      <c r="B38" s="249"/>
      <c r="C38" s="249"/>
      <c r="D38" s="249"/>
      <c r="E38" s="112" t="s">
        <v>174</v>
      </c>
      <c r="F38" s="130" t="s">
        <v>166</v>
      </c>
      <c r="G38" s="113">
        <v>2</v>
      </c>
      <c r="H38" s="113">
        <v>4</v>
      </c>
      <c r="I38" s="113">
        <v>6</v>
      </c>
      <c r="J38" s="250"/>
    </row>
    <row r="39" spans="1:10" ht="31.5">
      <c r="A39" s="248"/>
      <c r="B39" s="249"/>
      <c r="C39" s="249"/>
      <c r="D39" s="249"/>
      <c r="E39" s="112" t="s">
        <v>48</v>
      </c>
      <c r="F39" s="36" t="s">
        <v>65</v>
      </c>
      <c r="G39" s="113">
        <v>0</v>
      </c>
      <c r="H39" s="113">
        <v>2</v>
      </c>
      <c r="I39" s="113">
        <f t="shared" si="0"/>
        <v>2</v>
      </c>
      <c r="J39" s="250"/>
    </row>
    <row r="41" spans="1:10">
      <c r="B41" s="116" t="s">
        <v>152</v>
      </c>
    </row>
    <row r="45" spans="1:10" s="119" customFormat="1" ht="15.75">
      <c r="B45" s="50" t="s">
        <v>76</v>
      </c>
      <c r="C45" s="50"/>
      <c r="D45" s="50"/>
      <c r="E45" s="97" t="s">
        <v>77</v>
      </c>
      <c r="F45" s="5"/>
      <c r="G45" s="49"/>
      <c r="H45" s="117"/>
      <c r="I45" s="50" t="s">
        <v>78</v>
      </c>
      <c r="J45" s="118"/>
    </row>
  </sheetData>
  <mergeCells count="41">
    <mergeCell ref="A24:A26"/>
    <mergeCell ref="B24:B26"/>
    <mergeCell ref="C24:C26"/>
    <mergeCell ref="B20:B23"/>
    <mergeCell ref="A27:A31"/>
    <mergeCell ref="J20:J23"/>
    <mergeCell ref="A20:A23"/>
    <mergeCell ref="C20:C23"/>
    <mergeCell ref="D20:D23"/>
    <mergeCell ref="B16:B19"/>
    <mergeCell ref="C16:C19"/>
    <mergeCell ref="A16:A19"/>
    <mergeCell ref="D16:D19"/>
    <mergeCell ref="J16:J19"/>
    <mergeCell ref="J24:J26"/>
    <mergeCell ref="D24:D26"/>
    <mergeCell ref="B27:B31"/>
    <mergeCell ref="J27:J31"/>
    <mergeCell ref="C27:C31"/>
    <mergeCell ref="D27:D31"/>
    <mergeCell ref="A32:A34"/>
    <mergeCell ref="B32:B34"/>
    <mergeCell ref="C32:C34"/>
    <mergeCell ref="D32:D34"/>
    <mergeCell ref="J32:J34"/>
    <mergeCell ref="A35:A39"/>
    <mergeCell ref="B35:B39"/>
    <mergeCell ref="C35:C39"/>
    <mergeCell ref="D35:D39"/>
    <mergeCell ref="J35:J39"/>
    <mergeCell ref="A12:A15"/>
    <mergeCell ref="B12:B15"/>
    <mergeCell ref="C12:C15"/>
    <mergeCell ref="D12:D15"/>
    <mergeCell ref="J12:J15"/>
    <mergeCell ref="A8:J8"/>
    <mergeCell ref="A1:J1"/>
    <mergeCell ref="A3:J3"/>
    <mergeCell ref="A4:J4"/>
    <mergeCell ref="A5:J5"/>
    <mergeCell ref="A7:J7"/>
  </mergeCells>
  <pageMargins left="0.70866141732283472" right="0.70866141732283472" top="0.35433070866141736" bottom="0.35433070866141736" header="0.31496062992125984" footer="0.31496062992125984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Part-1</vt:lpstr>
      <vt:lpstr>Part-2</vt:lpstr>
      <vt:lpstr>Load distribution Part-1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cp:lastPrinted>2026-05-07T05:27:48Z</cp:lastPrinted>
  <dcterms:modified xsi:type="dcterms:W3CDTF">2026-05-07T06:52:01Z</dcterms:modified>
</cp:coreProperties>
</file>